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I6" i="14"/>
  <c r="B40" i="14"/>
  <c r="O45" i="14"/>
  <c r="B7" i="14"/>
  <c r="O9" i="14"/>
  <c r="O53" i="14"/>
  <c r="B5" i="14"/>
  <c r="O56" i="14"/>
  <c r="B21" i="14"/>
  <c r="B29" i="14"/>
  <c r="O30" i="14"/>
  <c r="B35" i="14"/>
  <c r="O31" i="14"/>
  <c r="B71" i="14"/>
  <c r="I23" i="14"/>
  <c r="O46" i="14"/>
  <c r="O58" i="14"/>
  <c r="B3" i="14"/>
  <c r="I13" i="14"/>
  <c r="O36" i="14"/>
  <c r="B57" i="14"/>
  <c r="B72" i="14"/>
  <c r="B61" i="14"/>
  <c r="B45" i="14"/>
  <c r="O34" i="14"/>
  <c r="B58" i="14"/>
  <c r="O20" i="14"/>
  <c r="B42" i="14"/>
  <c r="B24" i="14"/>
  <c r="I21" i="14"/>
  <c r="O8" i="14"/>
  <c r="O40" i="14"/>
  <c r="B53" i="14"/>
  <c r="O39" i="14"/>
  <c r="B63" i="14"/>
  <c r="I26" i="14"/>
  <c r="B69" i="14"/>
  <c r="B34" i="14"/>
  <c r="B56" i="14"/>
  <c r="I30" i="14"/>
  <c r="O16" i="14"/>
  <c r="B37" i="14"/>
  <c r="B2" i="14"/>
  <c r="I10" i="14"/>
  <c r="B22" i="14"/>
  <c r="I31" i="14"/>
  <c r="B38" i="14"/>
  <c r="B6" i="14"/>
  <c r="B32" i="14"/>
  <c r="B59" i="14"/>
  <c r="O59" i="14"/>
  <c r="B28" i="14"/>
  <c r="B65" i="14"/>
  <c r="B19" i="14"/>
  <c r="B20" i="14"/>
  <c r="O10" i="14"/>
  <c r="I9" i="14"/>
  <c r="I7" i="14"/>
  <c r="B8" i="14"/>
  <c r="O37" i="14"/>
  <c r="B46" i="14"/>
  <c r="O38" i="14"/>
  <c r="B17" i="14"/>
  <c r="B14" i="14"/>
  <c r="O28" i="14"/>
  <c r="I12" i="14"/>
  <c r="I32" i="14"/>
  <c r="B16" i="14"/>
  <c r="O47" i="14"/>
  <c r="B51" i="14"/>
  <c r="O19" i="14"/>
  <c r="B55" i="14"/>
  <c r="B49" i="14"/>
  <c r="B23" i="14"/>
  <c r="B25" i="14"/>
  <c r="I14" i="14"/>
  <c r="B27" i="14"/>
  <c r="B12" i="14"/>
  <c r="B60" i="14"/>
  <c r="B31" i="14"/>
  <c r="B18" i="14"/>
  <c r="B52" i="14"/>
  <c r="I25" i="14"/>
  <c r="B74" i="14"/>
  <c r="I29" i="14"/>
  <c r="O48" i="14"/>
  <c r="B11" i="14"/>
  <c r="O18" i="14"/>
  <c r="B10" i="14"/>
  <c r="O49" i="14"/>
  <c r="B39" i="14"/>
  <c r="B44" i="14"/>
  <c r="O15" i="14"/>
  <c r="O29" i="14"/>
  <c r="I8" i="14"/>
  <c r="O50" i="14"/>
  <c r="B43" i="14"/>
  <c r="B26" i="14"/>
  <c r="I24" i="14"/>
  <c r="B41" i="14"/>
  <c r="B13" i="14"/>
  <c r="I20" i="14"/>
  <c r="I11" i="14"/>
  <c r="O14" i="14"/>
  <c r="O26" i="14"/>
  <c r="O57" i="14"/>
  <c r="B70" i="14"/>
  <c r="O35" i="14"/>
  <c r="O17" i="14"/>
  <c r="O7" i="14"/>
  <c r="B54" i="14"/>
  <c r="B33" i="14"/>
  <c r="B9" i="14"/>
  <c r="B36" i="14"/>
  <c r="B4" i="14"/>
  <c r="I27" i="14"/>
  <c r="O54" i="14"/>
  <c r="I28" i="14"/>
  <c r="B50" i="14"/>
  <c r="B62" i="14"/>
  <c r="B48" i="14"/>
  <c r="B15" i="14"/>
  <c r="O27" i="14"/>
  <c r="O6" i="14"/>
  <c r="B73" i="14"/>
  <c r="O55" i="14"/>
  <c r="O11" i="14"/>
  <c r="B30" i="14"/>
  <c r="B47" i="14"/>
  <c r="I19" i="14"/>
  <c r="I22"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M32" i="16"/>
  <c r="S53" i="17"/>
  <c r="S55" i="17"/>
  <c r="AL25" i="5"/>
  <c r="S56" i="17"/>
  <c r="S54" i="17"/>
  <c r="K54" i="17"/>
  <c r="AL24" i="5"/>
  <c r="AL23" i="5"/>
  <c r="K22" i="17"/>
  <c r="P64" i="17"/>
  <c r="P62" i="17"/>
</calcChain>
</file>

<file path=xl/sharedStrings.xml><?xml version="1.0" encoding="utf-8"?>
<sst xmlns="http://schemas.openxmlformats.org/spreadsheetml/2006/main" count="1221" uniqueCount="918">
  <si>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</si>
  <si>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</si>
  <si>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</si>
  <si>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</si>
  <si>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</si>
  <si>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</si>
  <si>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</si>
  <si>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</si>
  <si>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</si>
  <si>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</si>
  <si>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</si>
  <si>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</si>
  <si>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</si>
  <si>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</si>
  <si>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</si>
  <si>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</si>
  <si>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</si>
  <si>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</si>
  <si>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</si>
  <si>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</si>
  <si>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</si>
  <si>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</si>
  <si>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</si>
  <si>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</si>
  <si>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</si>
  <si>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</si>
  <si>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</si>
  <si>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</si>
  <si>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</si>
  <si>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</si>
  <si>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</si>
  <si>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</si>
  <si>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</si>
  <si>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</si>
  <si>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</si>
  <si>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</si>
  <si>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</si>
  <si>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</si>
  <si>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</si>
  <si>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</si>
  <si>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</si>
  <si>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</si>
  <si>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</si>
  <si>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</si>
  <si>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</si>
  <si>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</si>
  <si>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</si>
  <si>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</si>
  <si>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</si>
  <si>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</si>
  <si>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</si>
  <si>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</si>
  <si>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</si>
  <si>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</si>
  <si>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</si>
  <si>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</si>
  <si>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</si>
  <si>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</si>
  <si>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</si>
  <si>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</si>
  <si>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</si>
  <si>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</si>
  <si>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</si>
  <si>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</si>
  <si>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</si>
  <si>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</si>
  <si>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</si>
  <si>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</si>
  <si>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</si>
  <si>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</si>
  <si>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</si>
  <si>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</si>
  <si>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</si>
  <si>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</si>
  <si>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</si>
  <si>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</si>
  <si>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</si>
  <si>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</si>
  <si>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</si>
  <si>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</si>
  <si>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</si>
  <si>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</si>
  <si>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</si>
  <si>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</si>
  <si>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</si>
  <si>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</si>
  <si>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</si>
  <si>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</si>
  <si>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</si>
  <si>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</si>
  <si>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</si>
  <si>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</si>
  <si>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</si>
  <si>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</si>
  <si>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</si>
  <si>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</si>
  <si>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</si>
  <si>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</si>
  <si>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</si>
  <si>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</si>
  <si>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</si>
  <si>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</si>
  <si>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</si>
  <si>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</si>
  <si>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</si>
  <si>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</si>
  <si>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</si>
  <si>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</si>
  <si>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</si>
  <si>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</si>
  <si>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</si>
  <si>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</si>
  <si>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</si>
  <si>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</si>
  <si>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</si>
  <si>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</si>
  <si>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</si>
  <si>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</si>
  <si>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</si>
  <si>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</si>
  <si>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</si>
  <si>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</si>
  <si>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</si>
  <si>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</si>
  <si>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</si>
  <si>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</si>
  <si>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</si>
  <si>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</si>
  <si>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</si>
  <si>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</si>
  <si>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</si>
  <si>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</si>
  <si>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</si>
  <si>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</si>
  <si>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</si>
  <si>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</si>
  <si>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</si>
  <si>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</si>
  <si>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</si>
  <si>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</si>
  <si>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</si>
  <si>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</si>
  <si>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</si>
  <si>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</si>
  <si>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</si>
  <si>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</si>
  <si>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</si>
  <si>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</si>
  <si>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</si>
  <si>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</si>
  <si>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</si>
  <si>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</si>
  <si>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</si>
  <si>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</si>
  <si>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</si>
  <si>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</si>
  <si>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</si>
  <si>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</si>
  <si>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</si>
  <si>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</si>
  <si>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</si>
  <si>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</si>
  <si>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</si>
  <si>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</si>
  <si>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</si>
  <si>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</si>
  <si>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</si>
  <si>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</si>
  <si>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</si>
  <si>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</si>
  <si>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</si>
  <si>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</si>
  <si>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</si>
  <si>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</si>
  <si>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</si>
  <si>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</si>
  <si>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</si>
  <si>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</si>
  <si>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</si>
  <si>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</si>
  <si>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</si>
  <si>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</si>
  <si>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</si>
  <si>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</si>
  <si>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</si>
  <si>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</si>
  <si>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</si>
  <si>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</si>
  <si>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</si>
  <si>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</si>
  <si>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</si>
  <si>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</si>
  <si>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</si>
  <si>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</si>
  <si>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</si>
  <si>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</si>
  <si>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</si>
  <si>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</si>
  <si>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</si>
  <si>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</si>
  <si>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</si>
  <si>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</si>
  <si>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</si>
  <si>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</si>
  <si>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</si>
  <si>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</si>
  <si>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</si>
  <si>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</si>
  <si>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</si>
  <si>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</si>
  <si>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</si>
  <si>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</si>
  <si>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</si>
  <si>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</si>
  <si>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</si>
  <si>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</si>
  <si>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</si>
  <si>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</si>
  <si>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</si>
  <si>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</si>
  <si>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</si>
  <si>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</si>
  <si>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</si>
  <si>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</si>
  <si>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</si>
  <si>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</si>
  <si>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</si>
  <si>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</si>
  <si>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</si>
  <si>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</si>
  <si>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</si>
  <si>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</si>
  <si>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</si>
  <si>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</si>
  <si>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</si>
  <si>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</si>
  <si>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</si>
  <si>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</si>
  <si>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</si>
  <si>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</si>
  <si>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</si>
  <si>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</si>
  <si>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</si>
  <si>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</si>
  <si>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</si>
  <si>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</si>
  <si>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</si>
  <si>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</si>
  <si>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</si>
  <si>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</si>
  <si>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</si>
  <si>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</si>
  <si>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</si>
  <si>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</si>
  <si>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</si>
  <si>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</si>
  <si>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</si>
  <si>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</si>
  <si>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</si>
  <si>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</si>
  <si>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</si>
  <si>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</si>
  <si>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</si>
  <si>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</si>
  <si>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</si>
  <si>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</si>
  <si>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</si>
  <si>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</si>
  <si>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</si>
  <si>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</si>
  <si>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</si>
  <si>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</si>
  <si>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</si>
  <si>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</si>
  <si>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</si>
  <si>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</si>
  <si>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</si>
  <si>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</si>
  <si>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</si>
  <si>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</si>
  <si>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</si>
  <si>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</si>
  <si>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</si>
  <si>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</si>
  <si>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</si>
  <si>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</si>
  <si>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</si>
  <si>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</si>
  <si>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</si>
  <si>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</si>
  <si>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</si>
  <si>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</si>
  <si>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</si>
  <si>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</si>
  <si>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</si>
  <si>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</si>
  <si>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</si>
  <si>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</si>
  <si>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</si>
  <si>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</si>
  <si>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</si>
  <si>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</si>
  <si>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</si>
  <si>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</si>
  <si>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</si>
  <si>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</si>
  <si>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</si>
  <si>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</si>
  <si>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</si>
  <si>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</si>
  <si>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</si>
  <si>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</si>
  <si>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</si>
  <si>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</si>
  <si>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</si>
  <si>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</si>
  <si>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</si>
  <si>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</si>
  <si>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</si>
  <si>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</si>
  <si>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</si>
  <si>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</si>
  <si>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</si>
  <si>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</si>
  <si>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</si>
  <si>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</si>
  <si>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</si>
  <si>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</si>
  <si>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</si>
  <si>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</si>
  <si>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</si>
  <si>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</si>
  <si>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</si>
  <si>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</si>
  <si>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</si>
  <si>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</si>
  <si>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</si>
  <si>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</si>
  <si>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</si>
  <si>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</si>
  <si>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</si>
  <si>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</si>
  <si>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</si>
  <si>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</si>
  <si>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</si>
  <si>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</si>
  <si>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</si>
  <si>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</si>
  <si>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</si>
  <si>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</si>
  <si>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</si>
  <si>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</si>
  <si>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</si>
  <si>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</si>
  <si>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</si>
  <si>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</si>
  <si>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</si>
  <si>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</si>
  <si>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</si>
  <si>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</si>
  <si>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</si>
  <si>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</si>
  <si>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</si>
  <si>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</si>
  <si>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</si>
  <si>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</si>
  <si>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</si>
  <si>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</si>
  <si>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</si>
  <si>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</si>
  <si>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</si>
  <si>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</si>
  <si>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</si>
  <si>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</si>
  <si>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</si>
  <si>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</si>
  <si>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</si>
  <si>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</si>
  <si>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</si>
  <si>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</si>
  <si>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</si>
  <si>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</si>
  <si>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</si>
  <si>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</si>
  <si>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</si>
  <si>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</si>
  <si>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</si>
  <si>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</si>
  <si>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</si>
  <si>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</si>
  <si>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</si>
  <si>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</si>
  <si>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</si>
  <si>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</si>
  <si>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</si>
  <si>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</si>
  <si>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</si>
  <si>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</si>
  <si>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</si>
  <si>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</si>
  <si>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</si>
  <si>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</si>
  <si>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</si>
  <si>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</si>
  <si>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</si>
  <si>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</si>
  <si>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</si>
  <si>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</si>
  <si>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</si>
  <si>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</si>
  <si>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</si>
  <si>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</si>
  <si>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</si>
  <si>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</si>
  <si>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</si>
  <si>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</si>
  <si>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</si>
  <si>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</si>
  <si>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</si>
  <si>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</si>
  <si>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</si>
  <si>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</si>
  <si>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</si>
  <si>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</si>
  <si>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</si>
  <si>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</si>
  <si>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</si>
  <si>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</si>
  <si>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</si>
  <si>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</si>
  <si>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</si>
  <si>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</si>
  <si>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</si>
  <si>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</si>
  <si>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</si>
  <si>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</si>
  <si>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</si>
  <si>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</si>
  <si>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</si>
  <si>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</si>
  <si>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</si>
  <si>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</si>
  <si>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</si>
  <si>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</si>
  <si>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</si>
  <si>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</si>
  <si>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</si>
  <si>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</si>
  <si>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</si>
  <si>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</si>
  <si>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</si>
  <si>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</si>
  <si>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</si>
  <si>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</si>
  <si>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</si>
  <si>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</si>
  <si>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</si>
  <si>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</si>
  <si>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</si>
  <si>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</si>
  <si>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</si>
  <si>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</si>
  <si>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</si>
  <si>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</si>
  <si>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</si>
  <si>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</si>
  <si>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</si>
  <si>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</si>
  <si>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</si>
  <si>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</si>
  <si>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</si>
  <si>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</si>
  <si>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</si>
  <si>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</si>
  <si>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</si>
  <si>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</si>
  <si>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</si>
  <si>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</si>
  <si>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</si>
  <si>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</si>
  <si>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</si>
  <si>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</si>
  <si>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</si>
  <si>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</si>
  <si>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</si>
  <si>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</si>
  <si>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</si>
  <si>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</si>
  <si>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</si>
  <si>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</si>
  <si>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</si>
  <si>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</si>
  <si>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</si>
  <si>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</si>
  <si>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</si>
  <si>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</si>
  <si>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</si>
  <si>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</si>
  <si>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</si>
  <si>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</si>
  <si>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</si>
  <si>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</si>
  <si>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</si>
  <si>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</si>
  <si>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</si>
  <si>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</si>
  <si>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</si>
  <si>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</si>
  <si>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</si>
  <si>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</si>
  <si>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</si>
  <si>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</si>
  <si>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</si>
  <si>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</si>
  <si>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</si>
  <si>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</si>
  <si>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</si>
  <si>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</si>
  <si>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</si>
  <si>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</si>
  <si>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</si>
  <si>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</si>
  <si>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</si>
  <si>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</si>
  <si>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</si>
  <si>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</si>
  <si>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</si>
  <si>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</si>
  <si>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</si>
  <si>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</si>
  <si>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</si>
  <si>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</si>
  <si>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</si>
  <si>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</si>
  <si>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</si>
  <si>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</si>
  <si>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</si>
  <si>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</si>
  <si>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</si>
  <si>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</si>
  <si>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</si>
  <si>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</si>
  <si>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</si>
  <si>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</si>
  <si>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</si>
  <si>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</si>
  <si>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</si>
  <si>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</si>
  <si>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</si>
  <si>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</si>
  <si>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</si>
  <si>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</si>
  <si>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</si>
  <si>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</si>
  <si>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</si>
  <si>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</si>
  <si>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</si>
  <si>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</si>
  <si>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</si>
  <si>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</si>
  <si>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</si>
  <si>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</si>
  <si>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</si>
  <si>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</si>
  <si>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</si>
  <si>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</si>
  <si>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</si>
  <si>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</si>
  <si>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</si>
  <si>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</si>
  <si>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</si>
  <si>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</si>
  <si>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</si>
  <si>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</si>
  <si>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</si>
  <si>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</si>
  <si>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</si>
  <si>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</si>
  <si>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</si>
  <si>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</si>
  <si>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</si>
  <si>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</si>
  <si>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</si>
  <si>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</si>
  <si>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</si>
  <si>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</si>
  <si>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</si>
  <si>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</si>
  <si>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</si>
  <si>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</si>
  <si>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</si>
  <si>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</si>
  <si>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</si>
  <si>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</si>
  <si>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</si>
  <si>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</si>
  <si>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</si>
  <si>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</si>
  <si>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</si>
  <si>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</si>
  <si>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</si>
  <si>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</si>
  <si>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</si>
  <si>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</si>
  <si>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</si>
  <si>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</si>
  <si>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</si>
  <si>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</si>
  <si>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</si>
  <si>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</si>
  <si>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</si>
  <si>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</si>
  <si>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</si>
  <si>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</si>
  <si>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</si>
  <si>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</si>
  <si>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</si>
  <si>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</si>
  <si>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</si>
  <si>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</si>
  <si>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</si>
  <si>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</si>
  <si>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</si>
  <si>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</si>
  <si>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</si>
  <si>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</si>
  <si>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</si>
  <si>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</si>
  <si>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</si>
  <si>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</si>
  <si>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</si>
  <si>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</si>
  <si>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</si>
  <si>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</si>
  <si>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</si>
  <si>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</si>
  <si>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</si>
  <si>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</si>
  <si>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</si>
  <si>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</si>
  <si>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</si>
  <si>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</si>
  <si>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</si>
  <si>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</si>
  <si>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</si>
  <si>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</si>
  <si>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</si>
  <si>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</si>
  <si>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</si>
  <si>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</si>
  <si>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</si>
  <si>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</si>
  <si>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</si>
  <si>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</si>
  <si>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</si>
  <si>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</si>
  <si>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</si>
  <si>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</si>
  <si>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</si>
  <si>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</si>
  <si>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</si>
  <si>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</si>
  <si>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</si>
  <si>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</si>
  <si>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</si>
  <si>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</si>
  <si>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</si>
  <si>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</si>
  <si>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</si>
  <si>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</si>
  <si>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</si>
  <si>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</si>
  <si>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</si>
  <si>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</si>
  <si>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</si>
  <si>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</si>
  <si>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</si>
  <si>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</si>
  <si>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</si>
  <si>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</si>
  <si>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</si>
  <si>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</si>
  <si>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</si>
  <si>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</si>
  <si>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</si>
  <si>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</si>
  <si>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</si>
  <si>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</si>
  <si>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</si>
  <si>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</si>
  <si>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</si>
  <si>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</si>
  <si>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</si>
  <si>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</si>
  <si>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</si>
  <si>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</si>
  <si>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</si>
  <si>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</si>
  <si>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</si>
  <si>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</si>
  <si>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</si>
  <si>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</si>
  <si>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</si>
  <si>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</si>
  <si>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</si>
  <si>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</si>
  <si>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</si>
  <si>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</si>
  <si>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</si>
  <si>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</si>
  <si>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</si>
  <si>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</si>
  <si>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</si>
  <si>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</si>
  <si>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</si>
  <si>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</si>
  <si>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</si>
  <si>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</si>
  <si>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</si>
  <si>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</si>
  <si>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</si>
  <si>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</si>
  <si>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</si>
  <si>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</si>
  <si>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</si>
  <si>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</si>
  <si>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</si>
  <si>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</si>
  <si>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</si>
  <si>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</si>
  <si>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</si>
  <si>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</si>
  <si>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</si>
  <si>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</si>
  <si>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</si>
  <si>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</si>
  <si>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</si>
  <si>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</si>
  <si>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</si>
  <si>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</si>
  <si>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</si>
  <si>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</si>
  <si>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</si>
  <si>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</si>
  <si>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</si>
  <si>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</si>
  <si>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</si>
  <si>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</si>
  <si>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</si>
  <si>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</si>
  <si>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</si>
  <si>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</si>
  <si>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</si>
  <si>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</si>
  <si>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</si>
  <si>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</si>
  <si>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</si>
  <si>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</si>
  <si>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</si>
  <si>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</si>
  <si>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</si>
  <si>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</si>
  <si>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</si>
  <si>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</si>
  <si>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</si>
  <si>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</si>
  <si>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</si>
  <si>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</si>
  <si>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</si>
  <si>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</si>
  <si>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</si>
  <si>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</si>
  <si>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</si>
  <si>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</si>
  <si>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</si>
  <si>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</si>
  <si>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</si>
  <si>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</si>
  <si>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</si>
  <si>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</si>
  <si>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</si>
  <si>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</si>
  <si>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</si>
  <si>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</si>
  <si>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</si>
  <si>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</si>
  <si>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</si>
  <si>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</si>
  <si>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</si>
  <si>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</si>
  <si>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</si>
  <si>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</si>
  <si>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</si>
  <si>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</si>
  <si>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</si>
  <si>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</si>
  <si>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</si>
  <si>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</si>
  <si>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</si>
  <si>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</si>
  <si>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</si>
  <si>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</si>
  <si>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</si>
  <si>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</si>
  <si>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</si>
  <si>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</si>
  <si>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</si>
  <si>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</si>
  <si>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</si>
  <si>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</si>
  <si>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</si>
  <si>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</si>
  <si>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</si>
  <si>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</si>
  <si>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</si>
  <si>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</si>
  <si>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</si>
  <si>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</si>
  <si>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</si>
  <si>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</si>
  <si>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</si>
  <si>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</si>
  <si>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</si>
  <si>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</si>
  <si>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</si>
  <si>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</si>
  <si>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</si>
  <si>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</si>
  <si>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</si>
  <si>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</si>
  <si>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</si>
  <si>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</si>
  <si>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</si>
  <si>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</si>
  <si>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</si>
  <si>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</si>
  <si>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</si>
  <si>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</si>
  <si>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</si>
  <si>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</si>
  <si>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</si>
  <si>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</si>
  <si>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</si>
  <si>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</si>
  <si>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</si>
  <si>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</si>
  <si>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</si>
  <si>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</si>
  <si>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</si>
  <si>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</si>
  <si>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</si>
  <si>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</si>
  <si>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</si>
  <si>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</si>
  <si>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</si>
  <si>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</si>
  <si>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</si>
  <si>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</si>
  <si>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</si>
  <si>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</si>
  <si>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</si>
  <si>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</si>
  <si>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</si>
  <si>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</si>
  <si>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</si>
  <si>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</si>
  <si>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</si>
  <si>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</si>
  <si>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</si>
  <si>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</si>
  <si>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</si>
  <si>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</si>
  <si>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</si>
  <si>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</si>
  <si>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</si>
  <si>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</si>
  <si>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</si>
  <si>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</si>
  <si>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</si>
  <si>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</si>
  <si>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</si>
  <si>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</si>
  <si>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</si>
  <si>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</si>
  <si>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</si>
  <si>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</si>
  <si>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</si>
  <si>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</si>
  <si>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</si>
  <si>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</si>
  <si>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</si>
  <si>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</si>
  <si>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</si>
  <si>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</si>
  <si>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</si>
  <si>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</si>
  <si>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</si>
  <si>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</si>
  <si>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</si>
  <si>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</si>
  <si>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</si>
  <si>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</si>
  <si>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</si>
  <si>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</si>
  <si>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</si>
  <si>
    <t>No comment for applicable standards</t>
  </si>
  <si>
    <t>PURCHASE</t>
  </si>
  <si>
    <t>API-610</t>
  </si>
  <si>
    <t>SOMEWHERE MACHINERY WORKS</t>
  </si>
  <si>
    <t>6x10x11B</t>
  </si>
  <si>
    <t>ABC PUMPS (USA)</t>
  </si>
  <si>
    <t>REACTOR BLDG</t>
  </si>
  <si>
    <t>TypeData</t>
  </si>
  <si>
    <t>MSD2-D</t>
  </si>
  <si>
    <t>RWSP(+NaTB during safety injection)</t>
  </si>
  <si>
    <t>Series</t>
  </si>
  <si>
    <t>0.5</t>
  </si>
  <si>
    <t>STEAM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</si>
</sst>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164" fontId="20" fillId="0" borderId="26"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4" fillId="0" borderId="30" xfId="0" applyFont="1" applyBorder="1" applyAlignment="1" applyProtection="1">
      <alignment horizont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27"/>
      <c r="Y1" s="928"/>
      <c r="Z1" s="928"/>
      <c r="AA1" s="928"/>
      <c r="AB1" s="928"/>
      <c r="AC1" s="928"/>
      <c r="AD1" s="928"/>
      <c r="AE1" s="928"/>
      <c r="AF1" s="928"/>
      <c r="AG1" s="928"/>
      <c r="AH1" s="928"/>
      <c r="AI1" s="928"/>
      <c r="AJ1" s="928"/>
      <c r="AK1" s="929"/>
      <c r="AL1" s="929"/>
      <c r="AM1" s="929"/>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36" t="s">
        <v>270</v>
      </c>
      <c r="C9" s="936"/>
      <c r="D9" s="936"/>
      <c r="E9" s="936"/>
      <c r="F9" s="936"/>
      <c r="G9" s="936"/>
      <c r="H9" s="936"/>
      <c r="I9" s="936"/>
      <c r="J9" s="87"/>
      <c r="K9" s="87"/>
      <c r="L9" s="87"/>
      <c r="M9" s="87"/>
      <c r="N9" s="87"/>
      <c r="O9" s="87"/>
      <c r="P9" s="87"/>
      <c r="Q9" s="87"/>
      <c r="R9" s="87"/>
      <c r="S9" s="87"/>
      <c r="T9" s="930" t="s">
        <v>484</v>
      </c>
      <c r="U9" s="930"/>
      <c r="V9" s="930"/>
      <c r="W9" s="930"/>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31" t="s">
        <v>897</v>
      </c>
      <c r="R26" s="931"/>
      <c r="S26" s="931"/>
      <c r="T26" s="931"/>
      <c r="U26" s="931"/>
      <c r="V26" s="931"/>
      <c r="W26" s="931"/>
      <c r="X26" s="855" t="s">
        <v>47</v>
      </c>
      <c r="Y26" s="931" t="s">
        <v>899</v>
      </c>
      <c r="Z26" s="931"/>
      <c r="AA26" s="931"/>
      <c r="AB26" s="931"/>
      <c r="AC26" s="931"/>
      <c r="AD26" s="931"/>
      <c r="AE26" s="931"/>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4" t="s">
        <v>900</v>
      </c>
      <c r="M42" s="914"/>
      <c r="N42" s="914"/>
      <c r="O42" s="914"/>
      <c r="P42" s="914"/>
      <c r="Q42" s="914"/>
      <c r="R42" s="914"/>
      <c r="S42" s="914"/>
      <c r="T42" s="914"/>
      <c r="U42" s="914"/>
      <c r="V42" s="914"/>
      <c r="W42" s="914"/>
      <c r="X42" s="914"/>
      <c r="Y42" s="914"/>
      <c r="Z42" s="914"/>
      <c r="AA42" s="914"/>
      <c r="AB42" s="914"/>
      <c r="AC42" s="914"/>
      <c r="AD42" s="914"/>
      <c r="AE42" s="914"/>
      <c r="AF42" s="914"/>
      <c r="AG42" s="914"/>
      <c r="AH42" s="914"/>
      <c r="AI42" s="67"/>
      <c r="AJ42" s="67"/>
      <c r="AK42"/>
      <c r="AL42"/>
      <c r="AM42" s="60"/>
      <c r="AN42" s="52"/>
    </row>
    <row r="43" spans="1:40" x14ac:dyDescent="0.2">
      <c r="A43" s="52"/>
      <c r="B43" s="56"/>
      <c r="C43" s="57"/>
      <c r="D43" s="57"/>
      <c r="E43" s="57"/>
      <c r="F43" s="57"/>
      <c r="G43" s="57"/>
      <c r="H43" s="57"/>
      <c r="I43" s="57"/>
      <c r="J43" s="57"/>
      <c r="K43" s="57"/>
      <c r="L43" s="919"/>
      <c r="M43" s="919"/>
      <c r="N43" s="919"/>
      <c r="O43" s="919"/>
      <c r="P43" s="919"/>
      <c r="Q43" s="919"/>
      <c r="R43" s="919"/>
      <c r="S43" s="919"/>
      <c r="T43" s="919"/>
      <c r="U43" s="919"/>
      <c r="V43" s="919"/>
      <c r="W43" s="919"/>
      <c r="X43" s="919"/>
      <c r="Y43" s="919"/>
      <c r="Z43" s="919"/>
      <c r="AA43" s="919"/>
      <c r="AB43" s="919"/>
      <c r="AC43" s="919"/>
      <c r="AD43" s="919"/>
      <c r="AE43" s="919"/>
      <c r="AF43" s="919"/>
      <c r="AG43" s="919"/>
      <c r="AH43" s="919"/>
      <c r="AI43" s="67"/>
      <c r="AJ43" s="67"/>
      <c r="AK43"/>
      <c r="AL43"/>
      <c r="AM43" s="60"/>
      <c r="AN43" s="52"/>
    </row>
    <row r="44" spans="1:40" x14ac:dyDescent="0.2">
      <c r="A44" s="52"/>
      <c r="B44" s="56"/>
      <c r="C44" s="57"/>
      <c r="D44" s="57"/>
      <c r="E44" s="57"/>
      <c r="F44" s="57"/>
      <c r="G44" s="57"/>
      <c r="H44" s="57"/>
      <c r="I44" s="57"/>
      <c r="J44" s="57"/>
      <c r="K44" s="57"/>
      <c r="L44" s="919"/>
      <c r="M44" s="919"/>
      <c r="N44" s="919"/>
      <c r="O44" s="919"/>
      <c r="P44" s="919"/>
      <c r="Q44" s="919"/>
      <c r="R44" s="919"/>
      <c r="S44" s="919"/>
      <c r="T44" s="919"/>
      <c r="U44" s="919"/>
      <c r="V44" s="919"/>
      <c r="W44" s="919"/>
      <c r="X44" s="919"/>
      <c r="Y44" s="919"/>
      <c r="Z44" s="919"/>
      <c r="AA44" s="919"/>
      <c r="AB44" s="919"/>
      <c r="AC44" s="919"/>
      <c r="AD44" s="919"/>
      <c r="AE44" s="919"/>
      <c r="AF44" s="919"/>
      <c r="AG44" s="919"/>
      <c r="AH44" s="919"/>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9"/>
      <c r="M47" s="919"/>
      <c r="N47" s="919"/>
      <c r="O47" s="919"/>
      <c r="P47" s="919"/>
      <c r="Q47" s="919"/>
      <c r="R47" s="919"/>
      <c r="S47" s="919"/>
      <c r="T47" s="919"/>
      <c r="U47" s="919"/>
      <c r="V47" s="919"/>
      <c r="W47" s="919"/>
      <c r="X47" s="919"/>
      <c r="Y47" s="919"/>
      <c r="Z47" s="919"/>
      <c r="AA47" s="919"/>
      <c r="AB47" s="919"/>
      <c r="AC47" s="919"/>
      <c r="AD47" s="919"/>
      <c r="AE47" s="919"/>
      <c r="AF47" s="919"/>
      <c r="AG47" s="919"/>
      <c r="AH47" s="919"/>
      <c r="AI47" s="67"/>
      <c r="AJ47" s="67"/>
      <c r="AK47"/>
      <c r="AL47"/>
      <c r="AM47" s="60"/>
      <c r="AN47" s="52"/>
    </row>
    <row r="48" spans="1:40" x14ac:dyDescent="0.2">
      <c r="A48" s="52"/>
      <c r="B48" s="83"/>
      <c r="C48" s="84"/>
      <c r="D48" s="85"/>
      <c r="E48" s="85"/>
      <c r="F48" s="85"/>
      <c r="G48" s="85"/>
      <c r="H48" s="86"/>
      <c r="I48" s="87"/>
      <c r="J48" s="87"/>
      <c r="K48" s="87"/>
      <c r="L48" s="919"/>
      <c r="M48" s="919"/>
      <c r="N48" s="919"/>
      <c r="O48" s="919"/>
      <c r="P48" s="919"/>
      <c r="Q48" s="919"/>
      <c r="R48" s="919"/>
      <c r="S48" s="919"/>
      <c r="T48" s="919"/>
      <c r="U48" s="919"/>
      <c r="V48" s="919"/>
      <c r="W48" s="919"/>
      <c r="X48" s="919"/>
      <c r="Y48" s="919"/>
      <c r="Z48" s="919"/>
      <c r="AA48" s="919"/>
      <c r="AB48" s="919"/>
      <c r="AC48" s="919"/>
      <c r="AD48" s="919"/>
      <c r="AE48" s="919"/>
      <c r="AF48" s="919"/>
      <c r="AG48" s="919"/>
      <c r="AH48" s="919"/>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9"/>
      <c r="M51" s="919"/>
      <c r="N51" s="919"/>
      <c r="O51" s="919"/>
      <c r="P51" s="919"/>
      <c r="Q51" s="919"/>
      <c r="R51" s="919"/>
      <c r="S51" s="919"/>
      <c r="T51" s="919"/>
      <c r="U51" s="919"/>
      <c r="V51" s="919"/>
      <c r="W51" s="919"/>
      <c r="X51" s="919"/>
      <c r="Y51" s="919"/>
      <c r="Z51" s="919"/>
      <c r="AA51" s="919"/>
      <c r="AB51" s="919"/>
      <c r="AC51" s="919"/>
      <c r="AD51" s="919"/>
      <c r="AE51" s="919"/>
      <c r="AF51" s="919"/>
      <c r="AG51" s="919"/>
      <c r="AH51" s="919"/>
      <c r="AI51" s="67"/>
      <c r="AJ51" s="67"/>
      <c r="AK51"/>
      <c r="AL51"/>
      <c r="AM51" s="60"/>
      <c r="AN51" s="52"/>
    </row>
    <row r="52" spans="1:40" x14ac:dyDescent="0.2">
      <c r="A52" s="52"/>
      <c r="B52" s="83"/>
      <c r="C52" s="84"/>
      <c r="D52" s="85"/>
      <c r="E52" s="85"/>
      <c r="F52" s="85"/>
      <c r="G52" s="85"/>
      <c r="H52" s="88"/>
      <c r="I52" s="89"/>
      <c r="J52" s="89"/>
      <c r="K52" s="89"/>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67"/>
      <c r="AJ52" s="67"/>
      <c r="AK52"/>
      <c r="AL52"/>
      <c r="AM52" s="60"/>
      <c r="AN52" s="52"/>
    </row>
    <row r="53" spans="1:40" x14ac:dyDescent="0.2">
      <c r="A53" s="52"/>
      <c r="B53" s="563"/>
      <c r="C53" s="439"/>
      <c r="D53" s="439"/>
      <c r="E53" s="439"/>
      <c r="F53" s="895" t="s">
        <v>523</v>
      </c>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896"/>
      <c r="AK53" s="896"/>
      <c r="AL53" s="897"/>
      <c r="AM53" s="60"/>
      <c r="AN53" s="52"/>
    </row>
    <row r="54" spans="1:40" x14ac:dyDescent="0.2">
      <c r="A54" s="52"/>
      <c r="B54" s="563"/>
      <c r="C54" s="439"/>
      <c r="D54" s="439"/>
      <c r="E54" s="444"/>
      <c r="F54" s="932" t="s">
        <v>521</v>
      </c>
      <c r="G54" s="933"/>
      <c r="H54" s="933"/>
      <c r="I54" s="933"/>
      <c r="J54" s="933"/>
      <c r="K54" s="933"/>
      <c r="L54" s="933"/>
      <c r="M54" s="933"/>
      <c r="N54" s="934"/>
      <c r="O54" s="898" t="s">
        <v>522</v>
      </c>
      <c r="P54" s="899"/>
      <c r="Q54" s="939" t="s">
        <v>521</v>
      </c>
      <c r="R54" s="940"/>
      <c r="S54" s="940"/>
      <c r="T54" s="940"/>
      <c r="U54" s="940"/>
      <c r="V54" s="940"/>
      <c r="W54" s="940"/>
      <c r="X54" s="940"/>
      <c r="Y54" s="941"/>
      <c r="Z54" s="898" t="s">
        <v>522</v>
      </c>
      <c r="AA54" s="899"/>
      <c r="AB54" s="939" t="s">
        <v>521</v>
      </c>
      <c r="AC54" s="940"/>
      <c r="AD54" s="940"/>
      <c r="AE54" s="940"/>
      <c r="AF54" s="940"/>
      <c r="AG54" s="940"/>
      <c r="AH54" s="940"/>
      <c r="AI54" s="940"/>
      <c r="AJ54" s="941"/>
      <c r="AK54" s="898" t="s">
        <v>522</v>
      </c>
      <c r="AL54" s="899"/>
      <c r="AM54" s="60"/>
      <c r="AN54" s="52"/>
    </row>
    <row r="55" spans="1:40" x14ac:dyDescent="0.2">
      <c r="A55" s="52"/>
      <c r="B55" s="564" t="s">
        <v>112</v>
      </c>
      <c r="C55" s="439"/>
      <c r="D55" s="439"/>
      <c r="E55" s="444"/>
      <c r="F55" s="951" t="s">
        <v>901</v>
      </c>
      <c r="G55" s="952"/>
      <c r="H55" s="952"/>
      <c r="I55" s="952"/>
      <c r="J55" s="952"/>
      <c r="K55" s="952"/>
      <c r="L55" s="952"/>
      <c r="M55" s="952"/>
      <c r="N55" s="953"/>
      <c r="O55" s="949"/>
      <c r="P55" s="950"/>
      <c r="Q55" s="915"/>
      <c r="R55" s="916"/>
      <c r="S55" s="916"/>
      <c r="T55" s="916"/>
      <c r="U55" s="916"/>
      <c r="V55" s="916"/>
      <c r="W55" s="916"/>
      <c r="X55" s="916"/>
      <c r="Y55" s="917"/>
      <c r="Z55" s="900"/>
      <c r="AA55" s="901"/>
      <c r="AB55" s="915"/>
      <c r="AC55" s="916"/>
      <c r="AD55" s="916"/>
      <c r="AE55" s="916"/>
      <c r="AF55" s="916"/>
      <c r="AG55" s="916"/>
      <c r="AH55" s="916"/>
      <c r="AI55" s="916"/>
      <c r="AJ55" s="917"/>
      <c r="AK55" s="900"/>
      <c r="AL55" s="901"/>
      <c r="AM55" s="60"/>
      <c r="AN55" s="52"/>
    </row>
    <row r="56" spans="1:40" x14ac:dyDescent="0.2">
      <c r="A56" s="52"/>
      <c r="B56" s="564" t="s">
        <v>520</v>
      </c>
      <c r="C56" s="439"/>
      <c r="D56" s="439"/>
      <c r="E56" s="444"/>
      <c r="F56" s="876" t="s">
        <v>902</v>
      </c>
      <c r="G56" s="877"/>
      <c r="H56" s="877"/>
      <c r="I56" s="877"/>
      <c r="J56" s="877"/>
      <c r="K56" s="877"/>
      <c r="L56" s="877"/>
      <c r="M56" s="877"/>
      <c r="N56" s="878"/>
      <c r="O56" s="879"/>
      <c r="P56" s="880"/>
      <c r="Q56" s="883"/>
      <c r="R56" s="884"/>
      <c r="S56" s="884"/>
      <c r="T56" s="884"/>
      <c r="U56" s="884"/>
      <c r="V56" s="884"/>
      <c r="W56" s="884"/>
      <c r="X56" s="884"/>
      <c r="Y56" s="885"/>
      <c r="Z56" s="909"/>
      <c r="AA56" s="910"/>
      <c r="AB56" s="883"/>
      <c r="AC56" s="884"/>
      <c r="AD56" s="884"/>
      <c r="AE56" s="884"/>
      <c r="AF56" s="884"/>
      <c r="AG56" s="884"/>
      <c r="AH56" s="884"/>
      <c r="AI56" s="884"/>
      <c r="AJ56" s="885"/>
      <c r="AK56" s="909"/>
      <c r="AL56" s="910"/>
      <c r="AM56" s="60"/>
      <c r="AN56" s="52"/>
    </row>
    <row r="57" spans="1:40" x14ac:dyDescent="0.2">
      <c r="A57" s="52"/>
      <c r="B57" s="564" t="s">
        <v>173</v>
      </c>
      <c r="C57" s="439"/>
      <c r="D57" s="439"/>
      <c r="E57" s="444"/>
      <c r="F57" s="876" t="s">
        <v>903</v>
      </c>
      <c r="G57" s="877"/>
      <c r="H57" s="877"/>
      <c r="I57" s="877"/>
      <c r="J57" s="877"/>
      <c r="K57" s="877"/>
      <c r="L57" s="877"/>
      <c r="M57" s="877"/>
      <c r="N57" s="878"/>
      <c r="O57" s="879"/>
      <c r="P57" s="880"/>
      <c r="Q57" s="883"/>
      <c r="R57" s="884"/>
      <c r="S57" s="884"/>
      <c r="T57" s="884"/>
      <c r="U57" s="884"/>
      <c r="V57" s="884"/>
      <c r="W57" s="884"/>
      <c r="X57" s="884"/>
      <c r="Y57" s="885"/>
      <c r="Z57" s="909"/>
      <c r="AA57" s="910"/>
      <c r="AB57" s="883"/>
      <c r="AC57" s="884"/>
      <c r="AD57" s="884"/>
      <c r="AE57" s="884"/>
      <c r="AF57" s="884"/>
      <c r="AG57" s="884"/>
      <c r="AH57" s="884"/>
      <c r="AI57" s="884"/>
      <c r="AJ57" s="885"/>
      <c r="AK57" s="909"/>
      <c r="AL57" s="910"/>
      <c r="AM57" s="60"/>
      <c r="AN57" s="52"/>
    </row>
    <row r="58" spans="1:40" x14ac:dyDescent="0.2">
      <c r="A58" s="52"/>
      <c r="B58" s="564" t="s">
        <v>141</v>
      </c>
      <c r="C58" s="439"/>
      <c r="D58" s="439"/>
      <c r="E58" s="444"/>
      <c r="F58" s="923" t="s">
        <v>904</v>
      </c>
      <c r="G58" s="924"/>
      <c r="H58" s="924"/>
      <c r="I58" s="924"/>
      <c r="J58" s="924"/>
      <c r="K58" s="924"/>
      <c r="L58" s="924"/>
      <c r="M58" s="924"/>
      <c r="N58" s="925"/>
      <c r="O58" s="881"/>
      <c r="P58" s="882"/>
      <c r="Q58" s="904"/>
      <c r="R58" s="905"/>
      <c r="S58" s="905"/>
      <c r="T58" s="905"/>
      <c r="U58" s="905"/>
      <c r="V58" s="905"/>
      <c r="W58" s="905"/>
      <c r="X58" s="905"/>
      <c r="Y58" s="906"/>
      <c r="Z58" s="874"/>
      <c r="AA58" s="875"/>
      <c r="AB58" s="904"/>
      <c r="AC58" s="905"/>
      <c r="AD58" s="905"/>
      <c r="AE58" s="905"/>
      <c r="AF58" s="905"/>
      <c r="AG58" s="905"/>
      <c r="AH58" s="905"/>
      <c r="AI58" s="905"/>
      <c r="AJ58" s="906"/>
      <c r="AK58" s="874"/>
      <c r="AL58" s="875"/>
      <c r="AM58" s="60"/>
      <c r="AN58" s="52"/>
    </row>
    <row r="59" spans="1:40" x14ac:dyDescent="0.2">
      <c r="A59" s="52"/>
      <c r="B59" s="564" t="s">
        <v>524</v>
      </c>
      <c r="C59" s="439"/>
      <c r="D59" s="439"/>
      <c r="E59" s="439"/>
      <c r="F59" s="439"/>
      <c r="G59" s="439"/>
      <c r="H59" s="440"/>
      <c r="I59" s="440"/>
      <c r="J59" s="440"/>
      <c r="K59" s="440"/>
      <c r="L59" s="441"/>
      <c r="M59" s="922" t="s">
        <v>905</v>
      </c>
      <c r="N59" s="922"/>
      <c r="O59" s="922"/>
      <c r="P59" s="922"/>
      <c r="Q59" s="922"/>
      <c r="R59" s="922"/>
      <c r="S59" s="922"/>
      <c r="T59" s="922"/>
      <c r="U59" s="922"/>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47"/>
      <c r="C63" s="948"/>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86" t="s">
        <v>274</v>
      </c>
      <c r="C64" s="887"/>
      <c r="D64" s="211"/>
      <c r="E64" s="946">
        <v>41645</v>
      </c>
      <c r="F64" s="946"/>
      <c r="G64" s="946"/>
      <c r="H64" s="946"/>
      <c r="I64" s="212"/>
      <c r="J64" s="76"/>
      <c r="K64" s="873" t="s">
        <v>889</v>
      </c>
      <c r="L64" s="873"/>
      <c r="M64" s="873"/>
      <c r="N64" s="873"/>
      <c r="O64" s="873"/>
      <c r="P64" s="873"/>
      <c r="Q64" s="873"/>
      <c r="R64" s="873"/>
      <c r="S64" s="873"/>
      <c r="T64" s="873"/>
      <c r="U64" s="873"/>
      <c r="V64" s="873"/>
      <c r="W64" s="873"/>
      <c r="X64" s="873"/>
      <c r="Y64" s="873"/>
      <c r="Z64" s="873"/>
      <c r="AA64" s="76"/>
      <c r="AB64" s="911" t="s">
        <v>890</v>
      </c>
      <c r="AC64" s="912"/>
      <c r="AD64" s="911" t="s">
        <v>888</v>
      </c>
      <c r="AE64" s="912"/>
      <c r="AF64" s="911" t="s">
        <v>887</v>
      </c>
      <c r="AG64" s="912"/>
      <c r="AH64" s="911"/>
      <c r="AI64" s="912"/>
      <c r="AJ64" s="911"/>
      <c r="AK64" s="912"/>
      <c r="AL64" s="911"/>
      <c r="AM64" s="942"/>
      <c r="AN64" s="52"/>
    </row>
    <row r="65" spans="1:40" x14ac:dyDescent="0.2">
      <c r="A65" s="254"/>
      <c r="B65" s="886"/>
      <c r="C65" s="887"/>
      <c r="D65" s="213"/>
      <c r="E65" s="872"/>
      <c r="F65" s="872"/>
      <c r="G65" s="872"/>
      <c r="H65" s="872"/>
      <c r="I65" s="214"/>
      <c r="J65" s="215"/>
      <c r="K65" s="873"/>
      <c r="L65" s="873"/>
      <c r="M65" s="873"/>
      <c r="N65" s="873"/>
      <c r="O65" s="873"/>
      <c r="P65" s="873"/>
      <c r="Q65" s="873"/>
      <c r="R65" s="873"/>
      <c r="S65" s="873"/>
      <c r="T65" s="873"/>
      <c r="U65" s="873"/>
      <c r="V65" s="873"/>
      <c r="W65" s="873"/>
      <c r="X65" s="873"/>
      <c r="Y65" s="873"/>
      <c r="Z65" s="873"/>
      <c r="AA65" s="215"/>
      <c r="AB65" s="907"/>
      <c r="AC65" s="908"/>
      <c r="AD65" s="907"/>
      <c r="AE65" s="908"/>
      <c r="AF65" s="907"/>
      <c r="AG65" s="908"/>
      <c r="AH65" s="907"/>
      <c r="AI65" s="908"/>
      <c r="AJ65" s="907"/>
      <c r="AK65" s="908"/>
      <c r="AL65" s="907"/>
      <c r="AM65" s="943"/>
      <c r="AN65" s="52"/>
    </row>
    <row r="66" spans="1:40" x14ac:dyDescent="0.2">
      <c r="A66" s="254"/>
      <c r="B66" s="886"/>
      <c r="C66" s="887"/>
      <c r="D66" s="216"/>
      <c r="E66" s="872"/>
      <c r="F66" s="872"/>
      <c r="G66" s="872"/>
      <c r="H66" s="872"/>
      <c r="I66" s="217"/>
      <c r="J66" s="216"/>
      <c r="K66" s="873"/>
      <c r="L66" s="873"/>
      <c r="M66" s="873"/>
      <c r="N66" s="873"/>
      <c r="O66" s="873"/>
      <c r="P66" s="873"/>
      <c r="Q66" s="873"/>
      <c r="R66" s="873"/>
      <c r="S66" s="873"/>
      <c r="T66" s="873"/>
      <c r="U66" s="873"/>
      <c r="V66" s="873"/>
      <c r="W66" s="873"/>
      <c r="X66" s="873"/>
      <c r="Y66" s="873"/>
      <c r="Z66" s="873"/>
      <c r="AA66" s="217"/>
      <c r="AB66" s="907"/>
      <c r="AC66" s="908"/>
      <c r="AD66" s="907"/>
      <c r="AE66" s="908"/>
      <c r="AF66" s="907"/>
      <c r="AG66" s="908"/>
      <c r="AH66" s="907"/>
      <c r="AI66" s="908"/>
      <c r="AJ66" s="907"/>
      <c r="AK66" s="908"/>
      <c r="AL66" s="907"/>
      <c r="AM66" s="943"/>
      <c r="AN66" s="52"/>
    </row>
    <row r="67" spans="1:40" x14ac:dyDescent="0.2">
      <c r="A67" s="254"/>
      <c r="B67" s="886"/>
      <c r="C67" s="887"/>
      <c r="D67" s="216"/>
      <c r="E67" s="872"/>
      <c r="F67" s="872"/>
      <c r="G67" s="872"/>
      <c r="H67" s="872"/>
      <c r="I67" s="217"/>
      <c r="J67" s="216"/>
      <c r="K67" s="873"/>
      <c r="L67" s="873"/>
      <c r="M67" s="873"/>
      <c r="N67" s="873"/>
      <c r="O67" s="873"/>
      <c r="P67" s="873"/>
      <c r="Q67" s="873"/>
      <c r="R67" s="873"/>
      <c r="S67" s="873"/>
      <c r="T67" s="873"/>
      <c r="U67" s="873"/>
      <c r="V67" s="873"/>
      <c r="W67" s="873"/>
      <c r="X67" s="873"/>
      <c r="Y67" s="873"/>
      <c r="Z67" s="873"/>
      <c r="AA67" s="217"/>
      <c r="AB67" s="907"/>
      <c r="AC67" s="908"/>
      <c r="AD67" s="907"/>
      <c r="AE67" s="908"/>
      <c r="AF67" s="907"/>
      <c r="AG67" s="908"/>
      <c r="AH67" s="907"/>
      <c r="AI67" s="908"/>
      <c r="AJ67" s="907"/>
      <c r="AK67" s="908"/>
      <c r="AL67" s="907"/>
      <c r="AM67" s="943"/>
      <c r="AN67" s="52"/>
    </row>
    <row r="68" spans="1:40" ht="13.5" thickBot="1" x14ac:dyDescent="0.25">
      <c r="A68" s="254"/>
      <c r="B68" s="937"/>
      <c r="C68" s="938"/>
      <c r="D68" s="218"/>
      <c r="E68" s="945"/>
      <c r="F68" s="945"/>
      <c r="G68" s="945"/>
      <c r="H68" s="945"/>
      <c r="I68" s="219"/>
      <c r="J68" s="218"/>
      <c r="K68" s="926"/>
      <c r="L68" s="926"/>
      <c r="M68" s="926"/>
      <c r="N68" s="926"/>
      <c r="O68" s="926"/>
      <c r="P68" s="926"/>
      <c r="Q68" s="926"/>
      <c r="R68" s="926"/>
      <c r="S68" s="926"/>
      <c r="T68" s="926"/>
      <c r="U68" s="926"/>
      <c r="V68" s="926"/>
      <c r="W68" s="926"/>
      <c r="X68" s="926"/>
      <c r="Y68" s="926"/>
      <c r="Z68" s="926"/>
      <c r="AA68" s="219"/>
      <c r="AB68" s="902"/>
      <c r="AC68" s="903"/>
      <c r="AD68" s="902"/>
      <c r="AE68" s="903"/>
      <c r="AF68" s="902"/>
      <c r="AG68" s="903"/>
      <c r="AH68" s="902"/>
      <c r="AI68" s="903"/>
      <c r="AJ68" s="902"/>
      <c r="AK68" s="903"/>
      <c r="AL68" s="902"/>
      <c r="AM68" s="944"/>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890" t="s">
        <v>10</v>
      </c>
      <c r="AC69" s="891"/>
      <c r="AD69" s="888" t="s">
        <v>11</v>
      </c>
      <c r="AE69" s="892"/>
      <c r="AF69" s="890" t="s">
        <v>891</v>
      </c>
      <c r="AG69" s="891"/>
      <c r="AH69" s="893"/>
      <c r="AI69" s="894"/>
      <c r="AJ69" s="893"/>
      <c r="AK69" s="894"/>
      <c r="AL69" s="888"/>
      <c r="AM69" s="88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0"/>
      <c r="AD72" s="921"/>
      <c r="AE72" s="921"/>
      <c r="AF72" s="921"/>
      <c r="AG72" s="921"/>
      <c r="AH72" s="921"/>
      <c r="AI72" s="921"/>
      <c r="AJ72" s="921"/>
      <c r="AK72" s="921"/>
      <c r="AL72" s="92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18"/>
      <c r="AH74" s="918"/>
      <c r="AI74" s="267" t="s">
        <v>269</v>
      </c>
      <c r="AJ74" s="918" t="str">
        <f>IF(C_PageNo_Total=0,"",C_PageNo_Total)</f>
        <v/>
      </c>
      <c r="AK74" s="918"/>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E67:H67"/>
    <mergeCell ref="E66:H66"/>
    <mergeCell ref="K66:Z66"/>
    <mergeCell ref="Z58:AA58"/>
    <mergeCell ref="F57:N57"/>
    <mergeCell ref="O57:P57"/>
    <mergeCell ref="O58:P58"/>
    <mergeCell ref="Q57:Y57"/>
    <mergeCell ref="B64:C64"/>
    <mergeCell ref="B66:C66"/>
    <mergeCell ref="B65:C65"/>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BB30" sqref="BB30"/>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17" t="s">
        <v>906</v>
      </c>
      <c r="I4" s="1018"/>
      <c r="J4" s="1018"/>
      <c r="K4" s="1018"/>
      <c r="L4" s="1018"/>
      <c r="M4" s="711"/>
      <c r="N4" s="710"/>
      <c r="O4" s="712"/>
      <c r="Q4" s="710"/>
      <c r="R4" s="711"/>
      <c r="S4" s="713"/>
      <c r="T4" s="712"/>
      <c r="U4" s="714"/>
      <c r="V4" s="710"/>
      <c r="W4" s="713"/>
      <c r="X4" s="726" t="s">
        <v>579</v>
      </c>
      <c r="Y4" s="1020" t="s">
        <v>907</v>
      </c>
      <c r="Z4" s="1020"/>
      <c r="AA4" s="1020"/>
      <c r="AB4" s="1020"/>
      <c r="AC4" s="1020"/>
      <c r="AD4" s="1000" t="str">
        <f>IF(Y4="OTHER","SPECIFY","")</f>
        <v/>
      </c>
      <c r="AE4" s="1000"/>
      <c r="AF4" s="1000"/>
      <c r="AG4" s="715"/>
      <c r="AH4" s="999"/>
      <c r="AI4" s="999"/>
      <c r="AJ4" s="999"/>
      <c r="AK4" s="999"/>
      <c r="AL4" s="999"/>
      <c r="AM4" s="41"/>
      <c r="AN4" s="615" t="s">
        <v>7</v>
      </c>
    </row>
    <row r="5" spans="1:40" x14ac:dyDescent="0.2">
      <c r="A5" s="567">
        <f>A4+1</f>
        <v>2</v>
      </c>
      <c r="B5" s="716"/>
      <c r="C5" s="710" t="s">
        <v>17</v>
      </c>
      <c r="D5" s="710"/>
      <c r="E5" s="717"/>
      <c r="F5" s="1021"/>
      <c r="G5" s="1021"/>
      <c r="H5" s="1021"/>
      <c r="I5" s="1021"/>
      <c r="J5" s="1021"/>
      <c r="K5" s="1021"/>
      <c r="L5" s="1021"/>
      <c r="M5" s="1021"/>
      <c r="N5" s="1021"/>
      <c r="O5" s="1021"/>
      <c r="P5" s="1021"/>
      <c r="Q5" s="1021"/>
      <c r="R5" s="1021"/>
      <c r="S5" s="1021"/>
      <c r="T5" s="1021"/>
      <c r="U5" s="717"/>
      <c r="V5" s="710" t="s">
        <v>18</v>
      </c>
      <c r="W5" s="718"/>
      <c r="X5" s="719"/>
      <c r="Y5" s="971" t="s">
        <v>911</v>
      </c>
      <c r="Z5" s="971"/>
      <c r="AA5" s="971"/>
      <c r="AB5" s="971"/>
      <c r="AC5" s="971"/>
      <c r="AD5" s="971"/>
      <c r="AE5" s="971"/>
      <c r="AF5" s="971"/>
      <c r="AG5" s="971"/>
      <c r="AH5" s="971"/>
      <c r="AI5" s="971"/>
      <c r="AJ5" s="971"/>
      <c r="AK5" s="971"/>
      <c r="AL5" s="971"/>
      <c r="AM5" s="143"/>
      <c r="AN5" s="720"/>
    </row>
    <row r="6" spans="1:40" x14ac:dyDescent="0.2">
      <c r="A6" s="567">
        <f>A5+1</f>
        <v>3</v>
      </c>
      <c r="B6" s="721"/>
      <c r="C6" s="710" t="s">
        <v>19</v>
      </c>
      <c r="D6" s="710"/>
      <c r="E6" s="722"/>
      <c r="F6" s="1021" t="s">
        <v>908</v>
      </c>
      <c r="G6" s="1021"/>
      <c r="H6" s="1021"/>
      <c r="I6" s="1021"/>
      <c r="J6" s="1021"/>
      <c r="K6" s="1021"/>
      <c r="L6" s="1021"/>
      <c r="M6" s="1021"/>
      <c r="N6" s="1021"/>
      <c r="O6" s="1021"/>
      <c r="P6" s="1021"/>
      <c r="Q6" s="1021"/>
      <c r="R6" s="1021"/>
      <c r="S6" s="1021"/>
      <c r="T6" s="1021"/>
      <c r="U6" s="722"/>
      <c r="V6" s="710" t="s">
        <v>20</v>
      </c>
      <c r="W6" s="723"/>
      <c r="X6" s="723"/>
      <c r="Y6" s="981" t="s">
        <v>896</v>
      </c>
      <c r="Z6" s="981"/>
      <c r="AA6" s="981"/>
      <c r="AB6" s="981"/>
      <c r="AC6" s="981"/>
      <c r="AD6" s="981"/>
      <c r="AE6" s="981"/>
      <c r="AF6" s="981"/>
      <c r="AG6" s="981"/>
      <c r="AH6" s="981"/>
      <c r="AI6" s="981"/>
      <c r="AJ6" s="981"/>
      <c r="AK6" s="981"/>
      <c r="AL6" s="981"/>
      <c r="AM6" s="143"/>
      <c r="AN6" s="622"/>
    </row>
    <row r="7" spans="1:40" x14ac:dyDescent="0.2">
      <c r="A7" s="616">
        <f>A6+1</f>
        <v>4</v>
      </c>
      <c r="B7" s="721"/>
      <c r="C7" s="710" t="s">
        <v>21</v>
      </c>
      <c r="D7" s="710"/>
      <c r="E7" s="714"/>
      <c r="F7" s="1001">
        <v>1</v>
      </c>
      <c r="G7" s="1001"/>
      <c r="H7" s="1001"/>
      <c r="I7" s="724"/>
      <c r="J7" s="725"/>
      <c r="K7" s="723"/>
      <c r="L7" s="726" t="s">
        <v>22</v>
      </c>
      <c r="M7" s="1001" t="s">
        <v>909</v>
      </c>
      <c r="N7" s="1001"/>
      <c r="O7" s="1001"/>
      <c r="P7" s="1001"/>
      <c r="Q7" s="1001"/>
      <c r="R7" s="1001"/>
      <c r="S7" s="1001"/>
      <c r="T7" s="1001"/>
      <c r="U7" s="722"/>
      <c r="V7" s="710" t="s">
        <v>23</v>
      </c>
      <c r="W7" s="723"/>
      <c r="X7" s="722"/>
      <c r="Y7" s="981" t="s">
        <v>912</v>
      </c>
      <c r="Z7" s="981"/>
      <c r="AA7" s="981"/>
      <c r="AB7" s="981"/>
      <c r="AC7" s="727"/>
      <c r="AD7" s="723" t="s">
        <v>24</v>
      </c>
      <c r="AE7" s="728"/>
      <c r="AF7" s="723"/>
      <c r="AG7" s="729"/>
      <c r="AH7" s="1022">
        <v>43554</v>
      </c>
      <c r="AI7" s="1022"/>
      <c r="AJ7" s="1022"/>
      <c r="AK7" s="1022"/>
      <c r="AL7" s="1022"/>
      <c r="AM7" s="143"/>
      <c r="AN7" s="622"/>
    </row>
    <row r="8" spans="1:40" x14ac:dyDescent="0.2">
      <c r="A8" s="567">
        <f>A7+1</f>
        <v>5</v>
      </c>
      <c r="B8" s="721"/>
      <c r="C8" s="710" t="s">
        <v>25</v>
      </c>
      <c r="D8" s="710"/>
      <c r="E8" s="710"/>
      <c r="F8" s="710"/>
      <c r="G8" s="710"/>
      <c r="H8" s="1007" t="s">
        <v>910</v>
      </c>
      <c r="I8" s="1007"/>
      <c r="J8" s="1007"/>
      <c r="K8" s="1007"/>
      <c r="L8" s="1007"/>
      <c r="M8" s="1007"/>
      <c r="N8" s="1007"/>
      <c r="O8" s="1007"/>
      <c r="P8" s="1007"/>
      <c r="Q8" s="1007"/>
      <c r="R8" s="1007"/>
      <c r="S8" s="1007"/>
      <c r="T8" s="1007"/>
      <c r="U8" s="551"/>
      <c r="V8" s="710" t="s">
        <v>26</v>
      </c>
      <c r="W8" s="549"/>
      <c r="X8" s="549"/>
      <c r="Y8" s="981" t="s">
        <v>913</v>
      </c>
      <c r="Z8" s="981"/>
      <c r="AA8" s="981"/>
      <c r="AB8" s="981"/>
      <c r="AC8" s="730"/>
      <c r="AD8" s="713" t="s">
        <v>27</v>
      </c>
      <c r="AE8" s="728"/>
      <c r="AF8" s="728"/>
      <c r="AG8" s="730"/>
      <c r="AH8" s="1022">
        <v>123456789</v>
      </c>
      <c r="AI8" s="1022"/>
      <c r="AJ8" s="1022"/>
      <c r="AK8" s="1022"/>
      <c r="AL8" s="102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08" t="s">
        <v>677</v>
      </c>
      <c r="D10" s="1009"/>
      <c r="E10" s="1009"/>
      <c r="F10" s="1009"/>
      <c r="G10" s="1009"/>
      <c r="H10" s="1009"/>
      <c r="I10" s="1009"/>
      <c r="J10" s="1009"/>
      <c r="K10" s="1009"/>
      <c r="L10" s="1009"/>
      <c r="M10" s="1009"/>
      <c r="N10" s="1009"/>
      <c r="O10" s="1009"/>
      <c r="P10" s="1009"/>
      <c r="Q10" s="1009"/>
      <c r="R10" s="1009"/>
      <c r="S10" s="1009"/>
      <c r="T10" s="1009"/>
      <c r="U10" s="1009"/>
      <c r="V10" s="1009"/>
      <c r="W10" s="1009"/>
      <c r="X10" s="1009"/>
      <c r="Y10" s="1010"/>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1002" t="s">
        <v>122</v>
      </c>
      <c r="L11" s="1003"/>
      <c r="M11" s="1004"/>
      <c r="N11" s="1002" t="s">
        <v>123</v>
      </c>
      <c r="O11" s="1003"/>
      <c r="P11" s="1004"/>
      <c r="Q11" s="1002" t="s">
        <v>126</v>
      </c>
      <c r="R11" s="1003"/>
      <c r="S11" s="1004"/>
      <c r="T11" s="1005" t="s">
        <v>182</v>
      </c>
      <c r="U11" s="1006"/>
      <c r="V11" s="1006"/>
      <c r="W11" s="1019"/>
      <c r="X11" s="1019"/>
      <c r="Y11" s="1019"/>
      <c r="Z11" s="823"/>
      <c r="AA11" s="127" t="s">
        <v>139</v>
      </c>
      <c r="AB11" s="125"/>
      <c r="AC11" s="736"/>
      <c r="AD11" s="228"/>
      <c r="AE11" s="228"/>
      <c r="AF11" s="228"/>
      <c r="AG11" s="228"/>
      <c r="AH11" s="1023"/>
      <c r="AI11" s="1024"/>
      <c r="AJ11" s="1024"/>
      <c r="AK11" s="1024"/>
      <c r="AL11" s="1024"/>
      <c r="AM11" s="24"/>
      <c r="AN11" s="622"/>
    </row>
    <row r="12" spans="1:40" x14ac:dyDescent="0.2">
      <c r="A12" s="567">
        <f t="shared" si="0"/>
        <v>8</v>
      </c>
      <c r="B12" s="721"/>
      <c r="C12" s="236"/>
      <c r="D12" s="737"/>
      <c r="E12" s="737"/>
      <c r="F12" s="737"/>
      <c r="G12" s="737"/>
      <c r="H12" s="737"/>
      <c r="I12" s="737"/>
      <c r="J12" s="545" t="s">
        <v>560</v>
      </c>
      <c r="K12" s="829" t="s">
        <v>914</v>
      </c>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28"/>
      <c r="AL12" s="1028"/>
      <c r="AM12" s="24"/>
      <c r="AN12" s="622"/>
    </row>
    <row r="13" spans="1:40" x14ac:dyDescent="0.2">
      <c r="A13" s="567">
        <f>A12+1</f>
        <v>9</v>
      </c>
      <c r="B13" s="721"/>
      <c r="C13" s="237"/>
      <c r="D13" s="738"/>
      <c r="E13" s="738"/>
      <c r="F13" s="738"/>
      <c r="G13" s="738"/>
      <c r="H13" s="738"/>
      <c r="I13" s="738"/>
      <c r="J13" s="739" t="s">
        <v>135</v>
      </c>
      <c r="K13" s="955" t="str">
        <f ca="1">Units!B2</f>
        <v>psia</v>
      </c>
      <c r="L13" s="956"/>
      <c r="M13" s="957"/>
      <c r="N13" s="962"/>
      <c r="O13" s="963"/>
      <c r="P13" s="964"/>
      <c r="Q13" s="962"/>
      <c r="R13" s="963"/>
      <c r="S13" s="964"/>
      <c r="T13" s="833" t="s">
        <v>704</v>
      </c>
      <c r="U13" s="241"/>
      <c r="V13" s="241"/>
      <c r="W13" s="827"/>
      <c r="X13" s="827"/>
      <c r="Y13" s="828"/>
      <c r="Z13" s="229"/>
      <c r="AA13" s="714" t="s">
        <v>142</v>
      </c>
      <c r="AD13" s="375"/>
      <c r="AE13" s="375"/>
      <c r="AF13" s="375"/>
      <c r="AG13" s="375"/>
      <c r="AH13" s="375"/>
      <c r="AI13" s="1025" t="s">
        <v>915</v>
      </c>
      <c r="AJ13" s="1025"/>
      <c r="AK13" s="1025"/>
      <c r="AL13" s="1025"/>
      <c r="AM13" s="742"/>
      <c r="AN13" s="622"/>
    </row>
    <row r="14" spans="1:40" x14ac:dyDescent="0.2">
      <c r="A14" s="567">
        <f t="shared" si="0"/>
        <v>10</v>
      </c>
      <c r="B14" s="721"/>
      <c r="C14" s="1029" t="s">
        <v>709</v>
      </c>
      <c r="D14" s="1030"/>
      <c r="E14" s="1030"/>
      <c r="F14" s="1030"/>
      <c r="G14" s="1030"/>
      <c r="H14" s="1030"/>
      <c r="I14" s="1030"/>
      <c r="J14" s="1031"/>
      <c r="K14" s="955"/>
      <c r="L14" s="956"/>
      <c r="M14" s="957"/>
      <c r="N14" s="962"/>
      <c r="O14" s="963"/>
      <c r="P14" s="964"/>
      <c r="Q14" s="962"/>
      <c r="R14" s="963"/>
      <c r="S14" s="964"/>
      <c r="T14" s="833" t="s">
        <v>705</v>
      </c>
      <c r="U14" s="827"/>
      <c r="V14" s="827"/>
      <c r="W14" s="827"/>
      <c r="X14" s="827"/>
      <c r="Y14" s="828"/>
      <c r="Z14" s="124"/>
      <c r="AA14" s="239" t="s">
        <v>742</v>
      </c>
      <c r="AB14" s="239"/>
      <c r="AC14" s="239"/>
      <c r="AD14" s="238"/>
      <c r="AE14" s="743"/>
      <c r="AF14" s="238"/>
      <c r="AG14" s="238"/>
      <c r="AH14" s="238"/>
      <c r="AI14" s="238"/>
      <c r="AJ14" s="238"/>
      <c r="AK14" s="1039"/>
      <c r="AL14" s="1039"/>
      <c r="AM14" s="24"/>
      <c r="AN14" s="622"/>
    </row>
    <row r="15" spans="1:40" x14ac:dyDescent="0.2">
      <c r="A15" s="567">
        <f t="shared" si="0"/>
        <v>11</v>
      </c>
      <c r="B15" s="721"/>
      <c r="C15" s="237"/>
      <c r="D15" s="738"/>
      <c r="E15" s="738"/>
      <c r="F15" s="738"/>
      <c r="G15" s="738"/>
      <c r="H15" s="738"/>
      <c r="I15" s="738"/>
      <c r="J15" s="739" t="s">
        <v>137</v>
      </c>
      <c r="K15" s="955" t="str">
        <f ca="1">Units!B34</f>
        <v>Btu/(lbm-°F)</v>
      </c>
      <c r="L15" s="956"/>
      <c r="M15" s="957"/>
      <c r="N15" s="962"/>
      <c r="O15" s="963"/>
      <c r="P15" s="964"/>
      <c r="Q15" s="962"/>
      <c r="R15" s="963"/>
      <c r="S15" s="964"/>
      <c r="T15" s="1026"/>
      <c r="U15" s="1027"/>
      <c r="V15" s="1027"/>
      <c r="W15" s="1027"/>
      <c r="X15" s="1027"/>
      <c r="Y15" s="1027"/>
      <c r="Z15" s="824"/>
      <c r="AA15" s="740" t="s">
        <v>743</v>
      </c>
      <c r="AB15" s="740"/>
      <c r="AC15" s="740"/>
      <c r="AD15" s="744"/>
      <c r="AE15" s="744"/>
      <c r="AF15" s="744"/>
      <c r="AG15" s="238"/>
      <c r="AH15" s="238"/>
      <c r="AI15" s="238"/>
      <c r="AJ15" s="238"/>
      <c r="AK15" s="956"/>
      <c r="AL15" s="956"/>
      <c r="AM15" s="24"/>
      <c r="AN15" s="622"/>
    </row>
    <row r="16" spans="1:40" x14ac:dyDescent="0.2">
      <c r="A16" s="567">
        <f t="shared" si="0"/>
        <v>12</v>
      </c>
      <c r="B16" s="721"/>
      <c r="C16" s="745"/>
      <c r="D16" s="746"/>
      <c r="E16" s="746"/>
      <c r="F16" s="746"/>
      <c r="G16" s="746"/>
      <c r="H16" s="746"/>
      <c r="I16" s="746"/>
      <c r="J16" s="747" t="s">
        <v>138</v>
      </c>
      <c r="K16" s="1032" t="str">
        <f ca="1">Units!B30</f>
        <v>cP</v>
      </c>
      <c r="L16" s="1033"/>
      <c r="M16" s="1034"/>
      <c r="N16" s="1013"/>
      <c r="O16" s="1014"/>
      <c r="P16" s="1015"/>
      <c r="Q16" s="1013"/>
      <c r="R16" s="1014"/>
      <c r="S16" s="1015"/>
      <c r="T16" s="1026"/>
      <c r="U16" s="1027"/>
      <c r="V16" s="1027"/>
      <c r="W16" s="1027"/>
      <c r="X16" s="1027"/>
      <c r="Y16" s="1027"/>
      <c r="Z16" s="825"/>
      <c r="AA16" s="544" t="s">
        <v>876</v>
      </c>
      <c r="AB16" s="544"/>
      <c r="AC16" s="741"/>
      <c r="AD16" s="744"/>
      <c r="AE16" s="593"/>
      <c r="AF16" s="593"/>
      <c r="AG16" s="748"/>
      <c r="AH16" s="743"/>
      <c r="AI16" s="150"/>
      <c r="AJ16" s="238"/>
      <c r="AK16" s="1011"/>
      <c r="AL16" s="1012"/>
      <c r="AM16" s="24"/>
      <c r="AN16" s="622"/>
    </row>
    <row r="17" spans="1:62" ht="3" customHeight="1" x14ac:dyDescent="0.2">
      <c r="A17" s="567"/>
      <c r="B17" s="731"/>
      <c r="N17" s="1027"/>
      <c r="O17" s="1027"/>
      <c r="P17" s="1027"/>
      <c r="Q17" s="1027"/>
      <c r="R17" s="1027"/>
      <c r="S17" s="1027"/>
      <c r="T17" s="1027"/>
      <c r="U17" s="1027"/>
      <c r="V17" s="1027"/>
      <c r="W17" s="1038"/>
      <c r="X17" s="1038"/>
      <c r="Y17" s="1038"/>
      <c r="Z17" s="826"/>
      <c r="AM17" s="13"/>
      <c r="AN17" s="646"/>
    </row>
    <row r="18" spans="1:62" x14ac:dyDescent="0.2">
      <c r="A18" s="567">
        <f>A16+1</f>
        <v>13</v>
      </c>
      <c r="B18" s="716"/>
      <c r="C18" s="1035" t="s">
        <v>725</v>
      </c>
      <c r="D18" s="1036"/>
      <c r="E18" s="1036"/>
      <c r="F18" s="1036"/>
      <c r="G18" s="1036"/>
      <c r="H18" s="1036"/>
      <c r="I18" s="1036"/>
      <c r="J18" s="1036"/>
      <c r="K18" s="1036"/>
      <c r="L18" s="1036"/>
      <c r="M18" s="1036"/>
      <c r="N18" s="1036"/>
      <c r="O18" s="1036"/>
      <c r="P18" s="1036"/>
      <c r="Q18" s="1036"/>
      <c r="R18" s="1036"/>
      <c r="S18" s="1036"/>
      <c r="T18" s="1036"/>
      <c r="U18" s="1036"/>
      <c r="V18" s="1036"/>
      <c r="W18" s="1036"/>
      <c r="X18" s="1036"/>
      <c r="Y18" s="1037"/>
      <c r="Z18" s="124"/>
      <c r="AA18" s="642" t="s">
        <v>143</v>
      </c>
      <c r="AB18" s="642"/>
      <c r="AC18" s="642"/>
      <c r="AD18" s="593"/>
      <c r="AE18" s="593"/>
      <c r="AF18" s="593"/>
      <c r="AG18" s="748"/>
      <c r="AH18" s="743"/>
      <c r="AI18" s="150"/>
      <c r="AJ18" s="743"/>
      <c r="AK18" s="1011"/>
      <c r="AL18" s="1012"/>
      <c r="AM18" s="24"/>
      <c r="AN18" s="648"/>
    </row>
    <row r="19" spans="1:62" x14ac:dyDescent="0.2">
      <c r="A19" s="567">
        <f t="shared" si="0"/>
        <v>14</v>
      </c>
      <c r="B19" s="721"/>
      <c r="C19" s="749"/>
      <c r="D19" s="750"/>
      <c r="E19" s="750"/>
      <c r="F19" s="750"/>
      <c r="G19" s="750"/>
      <c r="H19" s="750"/>
      <c r="I19" s="750"/>
      <c r="J19" s="750"/>
      <c r="K19" s="1002" t="s">
        <v>122</v>
      </c>
      <c r="L19" s="1003"/>
      <c r="M19" s="1004"/>
      <c r="N19" s="1002" t="s">
        <v>123</v>
      </c>
      <c r="O19" s="1003"/>
      <c r="P19" s="1004"/>
      <c r="Q19" s="1002" t="s">
        <v>124</v>
      </c>
      <c r="R19" s="1003"/>
      <c r="S19" s="1004"/>
      <c r="T19" s="1002" t="s">
        <v>125</v>
      </c>
      <c r="U19" s="1003"/>
      <c r="V19" s="1004"/>
      <c r="W19" s="1002" t="s">
        <v>126</v>
      </c>
      <c r="X19" s="1003"/>
      <c r="Y19" s="1004"/>
      <c r="Z19" s="24"/>
      <c r="AA19" s="850" t="s">
        <v>838</v>
      </c>
      <c r="AB19" s="544"/>
      <c r="AC19" s="544"/>
      <c r="AD19" s="741"/>
      <c r="AE19" s="542"/>
      <c r="AF19" s="542"/>
      <c r="AG19" s="542"/>
      <c r="AH19" s="542"/>
      <c r="AI19" s="542"/>
      <c r="AJ19" s="542"/>
      <c r="AK19" s="1011"/>
      <c r="AL19" s="1012"/>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44" t="s">
        <v>862</v>
      </c>
      <c r="O20" s="1045"/>
      <c r="P20" s="1045"/>
      <c r="Q20" s="1045"/>
      <c r="R20" s="1045"/>
      <c r="S20" s="1045"/>
      <c r="T20" s="1045"/>
      <c r="U20" s="1045"/>
      <c r="V20" s="1045"/>
      <c r="W20" s="1045"/>
      <c r="X20" s="1045"/>
      <c r="Y20" s="1046"/>
      <c r="Z20" s="24"/>
      <c r="AA20" s="850" t="s">
        <v>839</v>
      </c>
      <c r="AB20" s="543"/>
      <c r="AC20" s="543"/>
      <c r="AD20" s="543"/>
      <c r="AE20" s="543"/>
      <c r="AF20" s="543"/>
      <c r="AG20" s="543"/>
      <c r="AH20" s="543"/>
      <c r="AI20" s="543"/>
      <c r="AJ20" s="543"/>
      <c r="AK20" s="1011"/>
      <c r="AL20" s="1012"/>
      <c r="AM20" s="24"/>
      <c r="AN20" s="622"/>
    </row>
    <row r="21" spans="1:62" x14ac:dyDescent="0.2">
      <c r="A21" s="567">
        <f t="shared" si="0"/>
        <v>16</v>
      </c>
      <c r="B21" s="721"/>
      <c r="C21" s="229"/>
      <c r="D21" s="239"/>
      <c r="E21" s="239"/>
      <c r="F21" s="239"/>
      <c r="G21" s="239"/>
      <c r="H21" s="239"/>
      <c r="I21" s="239"/>
      <c r="J21" s="819" t="s">
        <v>134</v>
      </c>
      <c r="K21" s="955" t="str">
        <f ca="1">Units!B32</f>
        <v>°F</v>
      </c>
      <c r="L21" s="956"/>
      <c r="M21" s="957"/>
      <c r="N21" s="954">
        <v>15</v>
      </c>
      <c r="O21" s="954"/>
      <c r="P21" s="954"/>
      <c r="Q21" s="954">
        <v>16</v>
      </c>
      <c r="R21" s="954"/>
      <c r="S21" s="954"/>
      <c r="T21" s="954">
        <v>17</v>
      </c>
      <c r="U21" s="954"/>
      <c r="V21" s="954"/>
      <c r="W21" s="954">
        <v>18</v>
      </c>
      <c r="X21" s="954"/>
      <c r="Y21" s="954"/>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55" t="str">
        <f ca="1">Units!B19</f>
        <v>gpm</v>
      </c>
      <c r="L22" s="956"/>
      <c r="M22" s="957"/>
      <c r="N22" s="954">
        <v>11</v>
      </c>
      <c r="O22" s="954"/>
      <c r="P22" s="954"/>
      <c r="Q22" s="969">
        <v>12</v>
      </c>
      <c r="R22" s="969"/>
      <c r="S22" s="969"/>
      <c r="T22" s="954">
        <v>13</v>
      </c>
      <c r="U22" s="954"/>
      <c r="V22" s="954"/>
      <c r="W22" s="954">
        <v>14</v>
      </c>
      <c r="X22" s="954"/>
      <c r="Y22" s="954"/>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55" t="str">
        <f ca="1">Units!B2</f>
        <v>psia</v>
      </c>
      <c r="L23" s="956"/>
      <c r="M23" s="957"/>
      <c r="N23" s="954">
        <v>8</v>
      </c>
      <c r="O23" s="954"/>
      <c r="P23" s="954"/>
      <c r="Q23" s="954"/>
      <c r="R23" s="954"/>
      <c r="S23" s="954"/>
      <c r="T23" s="954">
        <v>9</v>
      </c>
      <c r="U23" s="954"/>
      <c r="V23" s="954"/>
      <c r="W23" s="954">
        <v>10</v>
      </c>
      <c r="X23" s="954"/>
      <c r="Y23" s="954"/>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55" t="str">
        <f ca="1">Units!B2</f>
        <v>psia</v>
      </c>
      <c r="L24" s="956"/>
      <c r="M24" s="957"/>
      <c r="N24" s="954">
        <v>5</v>
      </c>
      <c r="O24" s="954"/>
      <c r="P24" s="954"/>
      <c r="Q24" s="954"/>
      <c r="R24" s="954"/>
      <c r="S24" s="954"/>
      <c r="T24" s="954">
        <v>6</v>
      </c>
      <c r="U24" s="954"/>
      <c r="V24" s="954"/>
      <c r="W24" s="954">
        <v>7</v>
      </c>
      <c r="X24" s="954"/>
      <c r="Y24" s="954"/>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1029" t="s">
        <v>130</v>
      </c>
      <c r="D25" s="1030"/>
      <c r="E25" s="1030"/>
      <c r="F25" s="1030"/>
      <c r="G25" s="1030"/>
      <c r="H25" s="1030"/>
      <c r="I25" s="1030"/>
      <c r="J25" s="1031"/>
      <c r="K25" s="955" t="str">
        <f ca="1">Units!B4</f>
        <v>psi</v>
      </c>
      <c r="L25" s="956"/>
      <c r="M25" s="957"/>
      <c r="N25" s="962">
        <v>1</v>
      </c>
      <c r="O25" s="963"/>
      <c r="P25" s="964"/>
      <c r="Q25" s="1043">
        <v>2</v>
      </c>
      <c r="R25" s="1043"/>
      <c r="S25" s="1043"/>
      <c r="T25" s="962">
        <v>3</v>
      </c>
      <c r="U25" s="963"/>
      <c r="V25" s="964"/>
      <c r="W25" s="962">
        <v>4</v>
      </c>
      <c r="X25" s="963"/>
      <c r="Y25" s="964"/>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1029" t="s">
        <v>132</v>
      </c>
      <c r="D26" s="1030"/>
      <c r="E26" s="1030"/>
      <c r="F26" s="1030"/>
      <c r="G26" s="1030"/>
      <c r="H26" s="1030"/>
      <c r="I26" s="1030"/>
      <c r="J26" s="1031"/>
      <c r="K26" s="955" t="str">
        <f ca="1">Units!B11</f>
        <v>ft</v>
      </c>
      <c r="L26" s="956"/>
      <c r="M26" s="957"/>
      <c r="N26" s="962">
        <v>19</v>
      </c>
      <c r="O26" s="963"/>
      <c r="P26" s="964"/>
      <c r="Q26" s="961">
        <v>22</v>
      </c>
      <c r="R26" s="961"/>
      <c r="S26" s="961"/>
      <c r="T26" s="962">
        <v>21</v>
      </c>
      <c r="U26" s="963"/>
      <c r="V26" s="964"/>
      <c r="W26" s="962">
        <v>20</v>
      </c>
      <c r="X26" s="963"/>
      <c r="Y26" s="964"/>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1029" t="s">
        <v>678</v>
      </c>
      <c r="D27" s="1030"/>
      <c r="E27" s="1030"/>
      <c r="F27" s="1030"/>
      <c r="G27" s="1030"/>
      <c r="H27" s="1030"/>
      <c r="I27" s="1030"/>
      <c r="J27" s="1031"/>
      <c r="K27" s="955" t="str">
        <f ca="1">Units!B11</f>
        <v>ft</v>
      </c>
      <c r="L27" s="956"/>
      <c r="M27" s="957"/>
      <c r="N27" s="958"/>
      <c r="O27" s="959"/>
      <c r="P27" s="960"/>
      <c r="Q27" s="961" t="e">
        <f ca="1">Units!B71</f>
        <v>#DIV/0!</v>
      </c>
      <c r="R27" s="961"/>
      <c r="S27" s="961"/>
      <c r="T27" s="958"/>
      <c r="U27" s="959"/>
      <c r="V27" s="960"/>
      <c r="W27" s="958"/>
      <c r="X27" s="959"/>
      <c r="Y27" s="960"/>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1050" t="s">
        <v>185</v>
      </c>
      <c r="D28" s="1051"/>
      <c r="E28" s="1051"/>
      <c r="F28" s="1051"/>
      <c r="G28" s="1051"/>
      <c r="H28" s="1051"/>
      <c r="I28" s="1051"/>
      <c r="J28" s="1052"/>
      <c r="K28" s="1032" t="str">
        <f ca="1">Units!B29</f>
        <v>HP</v>
      </c>
      <c r="L28" s="1033"/>
      <c r="M28" s="1034"/>
      <c r="N28" s="958"/>
      <c r="O28" s="959"/>
      <c r="P28" s="960"/>
      <c r="Q28" s="968" t="e">
        <f ca="1">Units!B72</f>
        <v>#DIV/0!</v>
      </c>
      <c r="R28" s="968"/>
      <c r="S28" s="968"/>
      <c r="T28" s="958"/>
      <c r="U28" s="959"/>
      <c r="V28" s="960"/>
      <c r="W28" s="958"/>
      <c r="X28" s="959"/>
      <c r="Y28" s="960"/>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1055" t="s">
        <v>30</v>
      </c>
      <c r="D30" s="1056"/>
      <c r="E30" s="1056"/>
      <c r="F30" s="1056"/>
      <c r="G30" s="1056"/>
      <c r="H30" s="1056"/>
      <c r="I30" s="1056"/>
      <c r="J30" s="1056"/>
      <c r="K30" s="1056"/>
      <c r="L30" s="1056"/>
      <c r="M30" s="1056"/>
      <c r="N30" s="1056"/>
      <c r="O30" s="1056"/>
      <c r="P30" s="1056"/>
      <c r="Q30" s="1056"/>
      <c r="R30" s="1056"/>
      <c r="S30" s="1056"/>
      <c r="T30" s="1056"/>
      <c r="U30" s="1056"/>
      <c r="V30" s="1056"/>
      <c r="W30" s="1056"/>
      <c r="X30" s="1056"/>
      <c r="Y30" s="1056"/>
      <c r="Z30" s="1056"/>
      <c r="AA30" s="1056"/>
      <c r="AB30" s="1056"/>
      <c r="AC30" s="1056"/>
      <c r="AD30" s="1056"/>
      <c r="AE30" s="1056"/>
      <c r="AF30" s="1056"/>
      <c r="AG30" s="1056"/>
      <c r="AH30" s="1056"/>
      <c r="AI30" s="1056"/>
      <c r="AJ30" s="1056"/>
      <c r="AK30" s="1056"/>
      <c r="AL30" s="1056"/>
      <c r="AM30" s="1057"/>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1049"/>
      <c r="F32" s="1049"/>
      <c r="G32" s="1049"/>
      <c r="H32" s="1049"/>
      <c r="I32" s="377"/>
      <c r="J32" s="1049"/>
      <c r="K32" s="1049"/>
      <c r="L32" s="1049"/>
      <c r="M32" s="1049"/>
      <c r="N32" s="377"/>
      <c r="O32" s="1062"/>
      <c r="P32" s="1062"/>
      <c r="Q32" s="1062"/>
      <c r="R32" s="1062"/>
      <c r="S32" s="1062"/>
      <c r="T32" s="762"/>
      <c r="U32" s="782"/>
      <c r="V32" s="549"/>
      <c r="W32" s="549"/>
      <c r="X32" s="549"/>
      <c r="Y32" s="549"/>
      <c r="Z32" s="1041" t="s">
        <v>221</v>
      </c>
      <c r="AA32" s="1041"/>
      <c r="AB32" s="382"/>
      <c r="AC32" s="248"/>
      <c r="AD32" s="1041" t="s">
        <v>222</v>
      </c>
      <c r="AE32" s="1041"/>
      <c r="AF32" s="1042"/>
      <c r="AG32" s="1040" t="s">
        <v>223</v>
      </c>
      <c r="AH32" s="1041"/>
      <c r="AI32" s="1042"/>
      <c r="AJ32" s="1040"/>
      <c r="AK32" s="1041"/>
      <c r="AM32" s="740"/>
      <c r="AN32" s="622"/>
    </row>
    <row r="33" spans="1:62" x14ac:dyDescent="0.2">
      <c r="A33" s="567">
        <f t="shared" si="1"/>
        <v>27</v>
      </c>
      <c r="B33" s="721"/>
      <c r="C33" s="759" t="s">
        <v>144</v>
      </c>
      <c r="D33" s="757"/>
      <c r="E33" s="445"/>
      <c r="F33" s="445"/>
      <c r="G33" s="227"/>
      <c r="H33" s="1053"/>
      <c r="I33" s="1054"/>
      <c r="J33" s="1054"/>
      <c r="K33" s="1054"/>
      <c r="L33" s="445"/>
      <c r="M33" s="378" t="s">
        <v>145</v>
      </c>
      <c r="N33" s="1059" t="s">
        <v>207</v>
      </c>
      <c r="O33" s="1059"/>
      <c r="P33" s="1059"/>
      <c r="Q33" s="1059"/>
      <c r="R33" s="1059"/>
      <c r="S33" s="1059"/>
      <c r="T33" s="1060"/>
      <c r="U33" s="782"/>
      <c r="V33" s="549" t="s">
        <v>224</v>
      </c>
      <c r="W33" s="549"/>
      <c r="X33" s="549" t="str">
        <f ca="1">Units!B32</f>
        <v>°F</v>
      </c>
      <c r="Y33" s="774"/>
      <c r="Z33" s="971"/>
      <c r="AA33" s="971"/>
      <c r="AB33" s="782"/>
      <c r="AC33" s="786" t="s">
        <v>225</v>
      </c>
      <c r="AD33" s="971"/>
      <c r="AE33" s="971"/>
      <c r="AF33" s="1061"/>
      <c r="AG33" s="995"/>
      <c r="AH33" s="971"/>
      <c r="AI33" s="1061"/>
      <c r="AJ33" s="995"/>
      <c r="AK33" s="971"/>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1058"/>
      <c r="S34" s="1058"/>
      <c r="T34" s="725"/>
      <c r="U34" s="803"/>
      <c r="V34" s="549" t="s">
        <v>226</v>
      </c>
      <c r="W34" s="549"/>
      <c r="X34" s="549" t="str">
        <f ca="1">Units!B3</f>
        <v>psig</v>
      </c>
      <c r="Y34" s="551"/>
      <c r="Z34" s="971"/>
      <c r="AA34" s="971"/>
      <c r="AB34" s="782"/>
      <c r="AC34" s="786" t="s">
        <v>227</v>
      </c>
      <c r="AD34" s="981"/>
      <c r="AE34" s="981"/>
      <c r="AF34" s="982"/>
      <c r="AG34" s="983"/>
      <c r="AH34" s="981"/>
      <c r="AI34" s="982"/>
      <c r="AJ34" s="983"/>
      <c r="AK34" s="981"/>
      <c r="AM34" s="740"/>
      <c r="AN34" s="622"/>
      <c r="AR34" s="851"/>
      <c r="BJ34" s="226"/>
    </row>
    <row r="35" spans="1:62" x14ac:dyDescent="0.2">
      <c r="A35" s="567">
        <f t="shared" si="1"/>
        <v>29</v>
      </c>
      <c r="B35" s="721"/>
      <c r="C35" s="767"/>
      <c r="E35" s="238" t="s">
        <v>201</v>
      </c>
      <c r="F35" s="1047"/>
      <c r="G35" s="1047"/>
      <c r="H35" s="1047"/>
      <c r="I35" s="1047"/>
      <c r="J35" s="1048"/>
      <c r="K35" s="1047"/>
      <c r="L35" s="1047"/>
      <c r="M35" s="1047"/>
      <c r="N35" s="725"/>
      <c r="O35" s="725"/>
      <c r="P35" s="226"/>
      <c r="Q35" s="238" t="s">
        <v>230</v>
      </c>
      <c r="R35" s="1047"/>
      <c r="S35" s="1047"/>
      <c r="T35" s="725"/>
      <c r="U35" s="804"/>
      <c r="V35" s="549" t="s">
        <v>228</v>
      </c>
      <c r="W35" s="549"/>
      <c r="X35" s="549"/>
      <c r="Y35" s="971"/>
      <c r="Z35" s="971"/>
      <c r="AA35" s="971"/>
      <c r="AB35" s="971"/>
      <c r="AC35" s="971"/>
      <c r="AD35" s="971"/>
      <c r="AE35" s="971"/>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972"/>
      <c r="R36" s="972"/>
      <c r="S36" s="725"/>
      <c r="T36" s="762"/>
      <c r="V36" s="226" t="s">
        <v>574</v>
      </c>
      <c r="AI36" s="971"/>
      <c r="AJ36" s="971"/>
      <c r="AK36" s="226" t="s">
        <v>575</v>
      </c>
      <c r="AM36" s="740"/>
      <c r="AN36" s="622"/>
      <c r="BJ36" s="445"/>
    </row>
    <row r="37" spans="1:62" x14ac:dyDescent="0.2">
      <c r="A37" s="567">
        <f t="shared" si="1"/>
        <v>31</v>
      </c>
      <c r="B37" s="721"/>
      <c r="C37" s="561" t="s">
        <v>146</v>
      </c>
      <c r="D37" s="725"/>
      <c r="E37" s="725"/>
      <c r="F37" s="725"/>
      <c r="G37" s="725"/>
      <c r="H37" s="725"/>
      <c r="I37" s="1063"/>
      <c r="J37" s="1063"/>
      <c r="K37" s="570" t="str">
        <f ca="1">Units!B12</f>
        <v>ft</v>
      </c>
      <c r="L37" s="725"/>
      <c r="M37" s="725"/>
      <c r="N37" s="725"/>
      <c r="O37" s="725"/>
      <c r="P37" s="769" t="s">
        <v>147</v>
      </c>
      <c r="Q37" s="1063"/>
      <c r="R37" s="1063"/>
      <c r="S37" s="770" t="str">
        <f ca="1">Units!B6</f>
        <v>in Hg</v>
      </c>
      <c r="T37" s="771"/>
      <c r="U37" s="381" t="s">
        <v>229</v>
      </c>
      <c r="V37" s="549"/>
      <c r="W37" s="549"/>
      <c r="X37" s="549"/>
      <c r="Y37" s="549"/>
      <c r="Z37" s="549"/>
      <c r="AA37" s="550" t="s">
        <v>225</v>
      </c>
      <c r="AB37" s="549"/>
      <c r="AC37" s="971"/>
      <c r="AD37" s="971"/>
      <c r="AE37" s="549" t="str">
        <f ca="1">Units!B3</f>
        <v>psig</v>
      </c>
      <c r="AF37" s="549"/>
      <c r="AG37" s="549" t="s">
        <v>227</v>
      </c>
      <c r="AH37" s="551"/>
      <c r="AI37" s="971"/>
      <c r="AJ37" s="971"/>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71"/>
      <c r="O38" s="971"/>
      <c r="P38" s="550" t="s">
        <v>47</v>
      </c>
      <c r="Q38" s="981"/>
      <c r="R38" s="981"/>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71"/>
      <c r="O39" s="971"/>
      <c r="P39" s="550" t="s">
        <v>47</v>
      </c>
      <c r="Q39" s="981"/>
      <c r="R39" s="981"/>
      <c r="S39" s="625" t="s">
        <v>211</v>
      </c>
      <c r="T39" s="762"/>
      <c r="U39" s="381"/>
      <c r="V39" s="112"/>
      <c r="W39" s="549"/>
      <c r="X39" s="112"/>
      <c r="Y39" s="549"/>
      <c r="Z39" s="112"/>
      <c r="AA39" s="245"/>
      <c r="AB39" s="970" t="s">
        <v>214</v>
      </c>
      <c r="AC39" s="970"/>
      <c r="AD39" s="970"/>
      <c r="AE39" s="970" t="s">
        <v>170</v>
      </c>
      <c r="AF39" s="970"/>
      <c r="AG39" s="970"/>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1049"/>
      <c r="O40" s="1049"/>
      <c r="P40" s="1049"/>
      <c r="Q40" s="1049"/>
      <c r="R40" s="1049"/>
      <c r="S40" s="245"/>
      <c r="T40" s="776"/>
      <c r="U40" s="381"/>
      <c r="W40" s="786" t="s">
        <v>224</v>
      </c>
      <c r="X40" s="549" t="str">
        <f ca="1">Units!B32</f>
        <v>°F</v>
      </c>
      <c r="Y40" s="549"/>
      <c r="Z40" s="552" t="s">
        <v>576</v>
      </c>
      <c r="AA40" s="552"/>
      <c r="AB40" s="965"/>
      <c r="AC40" s="965"/>
      <c r="AD40" s="965"/>
      <c r="AE40" s="965"/>
      <c r="AF40" s="965"/>
      <c r="AG40" s="965"/>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1064"/>
      <c r="O41" s="1064"/>
      <c r="P41" s="1064"/>
      <c r="Q41" s="1064"/>
      <c r="R41" s="1064"/>
      <c r="S41" s="778"/>
      <c r="T41" s="776"/>
      <c r="U41" s="381"/>
      <c r="Y41" s="549"/>
      <c r="Z41" s="554" t="s">
        <v>577</v>
      </c>
      <c r="AA41" s="553"/>
      <c r="AB41" s="965"/>
      <c r="AC41" s="965"/>
      <c r="AD41" s="965"/>
      <c r="AE41" s="965"/>
      <c r="AF41" s="965"/>
      <c r="AG41" s="965"/>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965"/>
      <c r="AC42" s="965"/>
      <c r="AD42" s="965"/>
      <c r="AE42" s="965"/>
      <c r="AF42" s="965"/>
      <c r="AG42" s="965"/>
      <c r="AH42" s="553"/>
      <c r="AI42" s="553"/>
      <c r="AJ42" s="553"/>
      <c r="AK42" s="553"/>
      <c r="AM42" s="24"/>
      <c r="AN42" s="622"/>
    </row>
    <row r="43" spans="1:62" x14ac:dyDescent="0.2">
      <c r="A43" s="567">
        <f t="shared" si="1"/>
        <v>37</v>
      </c>
      <c r="B43" s="721"/>
      <c r="C43" s="381" t="s">
        <v>213</v>
      </c>
      <c r="D43" s="723"/>
      <c r="E43" s="549"/>
      <c r="F43" s="549"/>
      <c r="G43" s="549"/>
      <c r="H43" s="1041" t="s">
        <v>214</v>
      </c>
      <c r="I43" s="1041"/>
      <c r="J43" s="1042"/>
      <c r="K43" s="1040" t="s">
        <v>170</v>
      </c>
      <c r="L43" s="1041"/>
      <c r="M43" s="1042"/>
      <c r="N43" s="1040" t="s">
        <v>215</v>
      </c>
      <c r="O43" s="1041"/>
      <c r="P43" s="1042"/>
      <c r="Q43" s="1040" t="s">
        <v>216</v>
      </c>
      <c r="R43" s="1041"/>
      <c r="S43" s="1041"/>
      <c r="T43" s="780"/>
      <c r="U43" s="381"/>
      <c r="V43" s="549"/>
      <c r="W43" s="549"/>
      <c r="X43" s="549"/>
      <c r="Y43" s="549"/>
      <c r="Z43" s="554" t="s">
        <v>577</v>
      </c>
      <c r="AA43" s="553"/>
      <c r="AB43" s="965"/>
      <c r="AC43" s="965"/>
      <c r="AD43" s="965"/>
      <c r="AE43" s="965"/>
      <c r="AF43" s="965"/>
      <c r="AG43" s="965"/>
      <c r="AH43" s="553"/>
      <c r="AI43" s="553"/>
      <c r="AJ43" s="553"/>
      <c r="AK43" s="553"/>
      <c r="AM43" s="24"/>
      <c r="AN43" s="622"/>
      <c r="BJ43" s="740"/>
    </row>
    <row r="44" spans="1:62" x14ac:dyDescent="0.2">
      <c r="A44" s="567">
        <f t="shared" si="1"/>
        <v>38</v>
      </c>
      <c r="B44" s="721"/>
      <c r="C44" s="782"/>
      <c r="D44" s="549" t="s">
        <v>217</v>
      </c>
      <c r="E44" s="549"/>
      <c r="F44" s="549"/>
      <c r="G44" s="549"/>
      <c r="H44" s="971"/>
      <c r="I44" s="971"/>
      <c r="J44" s="1061"/>
      <c r="K44" s="995"/>
      <c r="L44" s="971"/>
      <c r="M44" s="1061"/>
      <c r="N44" s="995"/>
      <c r="O44" s="971"/>
      <c r="P44" s="1061"/>
      <c r="Q44" s="995"/>
      <c r="R44" s="971"/>
      <c r="S44" s="971"/>
      <c r="T44" s="783"/>
      <c r="AM44" s="24"/>
      <c r="AN44" s="622"/>
      <c r="BJ44" s="226"/>
    </row>
    <row r="45" spans="1:62" x14ac:dyDescent="0.2">
      <c r="A45" s="567">
        <f t="shared" si="1"/>
        <v>39</v>
      </c>
      <c r="B45" s="721"/>
      <c r="C45" s="782"/>
      <c r="D45" s="549" t="s">
        <v>219</v>
      </c>
      <c r="E45" s="549"/>
      <c r="F45" s="549"/>
      <c r="G45" s="549"/>
      <c r="H45" s="981"/>
      <c r="I45" s="981"/>
      <c r="J45" s="982"/>
      <c r="K45" s="983"/>
      <c r="L45" s="981"/>
      <c r="M45" s="982"/>
      <c r="N45" s="983"/>
      <c r="O45" s="981"/>
      <c r="P45" s="982"/>
      <c r="Q45" s="983"/>
      <c r="R45" s="981"/>
      <c r="S45" s="981"/>
      <c r="T45" s="783"/>
      <c r="AM45" s="50"/>
      <c r="AN45" s="622"/>
    </row>
    <row r="46" spans="1:62" x14ac:dyDescent="0.2">
      <c r="A46" s="567">
        <f t="shared" si="1"/>
        <v>40</v>
      </c>
      <c r="B46" s="731"/>
      <c r="C46" s="782"/>
      <c r="D46" s="723" t="s">
        <v>218</v>
      </c>
      <c r="E46" s="549"/>
      <c r="F46" s="549"/>
      <c r="G46" s="549"/>
      <c r="H46" s="981"/>
      <c r="I46" s="981"/>
      <c r="J46" s="982"/>
      <c r="K46" s="983"/>
      <c r="L46" s="981"/>
      <c r="M46" s="982"/>
      <c r="N46" s="983"/>
      <c r="O46" s="981"/>
      <c r="P46" s="982"/>
      <c r="Q46" s="983"/>
      <c r="R46" s="981"/>
      <c r="S46" s="981"/>
      <c r="T46" s="783"/>
      <c r="AM46" s="24"/>
      <c r="AN46" s="646"/>
      <c r="BJ46" s="226"/>
    </row>
    <row r="47" spans="1:62" ht="3" customHeight="1" x14ac:dyDescent="0.2">
      <c r="A47" s="567"/>
      <c r="B47" s="716"/>
      <c r="T47" s="785"/>
      <c r="AM47" s="50"/>
      <c r="AN47" s="648"/>
      <c r="BJ47" s="51"/>
    </row>
    <row r="48" spans="1:62" x14ac:dyDescent="0.2">
      <c r="A48" s="567">
        <f>A46+1</f>
        <v>41</v>
      </c>
      <c r="B48" s="721"/>
      <c r="C48" s="985" t="s">
        <v>33</v>
      </c>
      <c r="D48" s="986"/>
      <c r="E48" s="986"/>
      <c r="F48" s="986"/>
      <c r="G48" s="986"/>
      <c r="H48" s="986"/>
      <c r="I48" s="986"/>
      <c r="J48" s="986"/>
      <c r="K48" s="986"/>
      <c r="L48" s="986"/>
      <c r="M48" s="986"/>
      <c r="N48" s="986"/>
      <c r="O48" s="986"/>
      <c r="P48" s="986"/>
      <c r="Q48" s="986"/>
      <c r="R48" s="986"/>
      <c r="S48" s="986"/>
      <c r="T48" s="986"/>
      <c r="U48" s="985" t="s">
        <v>750</v>
      </c>
      <c r="V48" s="986"/>
      <c r="W48" s="986"/>
      <c r="X48" s="986"/>
      <c r="Y48" s="986"/>
      <c r="Z48" s="986"/>
      <c r="AA48" s="986"/>
      <c r="AB48" s="986"/>
      <c r="AC48" s="986"/>
      <c r="AD48" s="986"/>
      <c r="AE48" s="986"/>
      <c r="AF48" s="986"/>
      <c r="AG48" s="986"/>
      <c r="AH48" s="986"/>
      <c r="AI48" s="986"/>
      <c r="AJ48" s="986"/>
      <c r="AK48" s="986"/>
      <c r="AL48" s="986"/>
      <c r="AM48" s="987"/>
      <c r="AN48" s="622"/>
      <c r="BJ48" s="740"/>
    </row>
    <row r="49" spans="1:62" x14ac:dyDescent="0.2">
      <c r="A49" s="567">
        <f t="shared" si="1"/>
        <v>42</v>
      </c>
      <c r="B49" s="721"/>
      <c r="C49" s="760" t="s">
        <v>34</v>
      </c>
      <c r="D49" s="49"/>
      <c r="E49" s="24"/>
      <c r="F49" s="740"/>
      <c r="G49" s="740"/>
      <c r="H49" s="740"/>
      <c r="I49" s="547"/>
      <c r="J49" s="993"/>
      <c r="K49" s="993"/>
      <c r="L49" s="993"/>
      <c r="M49" s="993"/>
      <c r="N49" s="993"/>
      <c r="O49" s="445" t="s">
        <v>35</v>
      </c>
      <c r="P49" s="49"/>
      <c r="Q49" s="1066"/>
      <c r="R49" s="1066"/>
      <c r="S49" s="761"/>
      <c r="T49" s="787"/>
      <c r="U49" s="569" t="s">
        <v>563</v>
      </c>
      <c r="V49" s="570"/>
      <c r="W49" s="570"/>
      <c r="X49" s="570"/>
      <c r="Y49" s="570"/>
      <c r="Z49" s="570"/>
      <c r="AA49" s="570"/>
      <c r="AB49" s="289"/>
      <c r="AC49" s="789"/>
      <c r="AD49" s="789"/>
      <c r="AE49" s="789"/>
      <c r="AF49" s="790"/>
      <c r="AG49" s="789"/>
      <c r="AH49" s="984" t="s">
        <v>917</v>
      </c>
      <c r="AI49" s="984"/>
      <c r="AJ49" s="984"/>
      <c r="AK49" s="984"/>
      <c r="AL49" s="730"/>
      <c r="AM49" s="50"/>
      <c r="AN49" s="622"/>
      <c r="BJ49" s="544"/>
    </row>
    <row r="50" spans="1:62" x14ac:dyDescent="0.2">
      <c r="A50" s="567">
        <f t="shared" si="1"/>
        <v>43</v>
      </c>
      <c r="B50" s="721"/>
      <c r="D50" s="467" t="s">
        <v>561</v>
      </c>
      <c r="I50" s="112"/>
      <c r="J50" s="112"/>
      <c r="M50" s="994"/>
      <c r="N50" s="994"/>
      <c r="O50" s="994"/>
      <c r="P50" s="994"/>
      <c r="Q50" s="994"/>
      <c r="R50" s="994"/>
      <c r="T50" s="787"/>
      <c r="U50" s="569" t="s">
        <v>173</v>
      </c>
      <c r="V50" s="570"/>
      <c r="W50" s="570"/>
      <c r="X50" s="570"/>
      <c r="Y50" s="570"/>
      <c r="Z50" s="570"/>
      <c r="AA50" s="570"/>
      <c r="AB50" s="289"/>
      <c r="AC50" s="791"/>
      <c r="AD50" s="791"/>
      <c r="AE50" s="791"/>
      <c r="AF50" s="790"/>
      <c r="AG50" s="570"/>
      <c r="AH50" s="792"/>
      <c r="AI50" s="793"/>
      <c r="AJ50" s="967"/>
      <c r="AK50" s="967"/>
      <c r="AL50" s="730"/>
      <c r="AM50" s="50"/>
      <c r="AN50" s="622"/>
      <c r="BJ50" s="625"/>
    </row>
    <row r="51" spans="1:62" x14ac:dyDescent="0.2">
      <c r="A51" s="567">
        <f t="shared" si="1"/>
        <v>44</v>
      </c>
      <c r="B51" s="721"/>
      <c r="C51" s="445" t="s">
        <v>178</v>
      </c>
      <c r="D51" s="227"/>
      <c r="E51" s="24"/>
      <c r="F51" s="445"/>
      <c r="G51" s="763" t="s">
        <v>179</v>
      </c>
      <c r="H51" s="139"/>
      <c r="I51" s="992"/>
      <c r="J51" s="992"/>
      <c r="K51" s="740" t="s">
        <v>28</v>
      </c>
      <c r="L51" s="740"/>
      <c r="M51" s="992"/>
      <c r="N51" s="992"/>
      <c r="O51" s="445" t="s">
        <v>29</v>
      </c>
      <c r="P51" s="740"/>
      <c r="Q51" s="989"/>
      <c r="R51" s="989"/>
      <c r="S51" s="714" t="str">
        <f ca="1">Units!B13</f>
        <v>in.</v>
      </c>
      <c r="T51" s="551"/>
      <c r="U51" s="569" t="s">
        <v>564</v>
      </c>
      <c r="V51" s="570"/>
      <c r="W51" s="570"/>
      <c r="X51" s="570"/>
      <c r="Y51" s="570"/>
      <c r="Z51" s="570"/>
      <c r="AA51" s="570"/>
      <c r="AB51" s="289"/>
      <c r="AC51" s="791"/>
      <c r="AD51" s="791"/>
      <c r="AE51" s="791"/>
      <c r="AF51" s="790"/>
      <c r="AG51" s="570"/>
      <c r="AH51" s="792"/>
      <c r="AI51" s="793"/>
      <c r="AJ51" s="966"/>
      <c r="AK51" s="966"/>
      <c r="AL51" s="730"/>
      <c r="AM51" s="50"/>
      <c r="AN51" s="622"/>
    </row>
    <row r="52" spans="1:62" x14ac:dyDescent="0.2">
      <c r="A52" s="567">
        <f t="shared" si="1"/>
        <v>45</v>
      </c>
      <c r="B52" s="721"/>
      <c r="C52" s="765"/>
      <c r="D52" s="227"/>
      <c r="E52" s="24"/>
      <c r="F52" s="445"/>
      <c r="G52" s="766" t="s">
        <v>36</v>
      </c>
      <c r="H52" s="544"/>
      <c r="I52" s="988"/>
      <c r="J52" s="988"/>
      <c r="K52" s="728" t="str">
        <f ca="1">Units!B29</f>
        <v>HP</v>
      </c>
      <c r="L52" s="740"/>
      <c r="M52" s="740"/>
      <c r="N52" s="740"/>
      <c r="O52" s="744" t="s">
        <v>180</v>
      </c>
      <c r="P52" s="544"/>
      <c r="Q52" s="991"/>
      <c r="R52" s="991"/>
      <c r="S52" s="728" t="s">
        <v>37</v>
      </c>
      <c r="T52" s="549"/>
      <c r="U52" s="569" t="s">
        <v>565</v>
      </c>
      <c r="V52" s="154"/>
      <c r="W52" s="730"/>
      <c r="X52" s="730"/>
      <c r="Y52" s="730"/>
      <c r="Z52" s="730"/>
      <c r="AA52" s="730"/>
      <c r="AB52" s="730"/>
      <c r="AC52" s="730"/>
      <c r="AD52" s="730"/>
      <c r="AE52" s="730"/>
      <c r="AF52" s="730"/>
      <c r="AG52" s="730"/>
      <c r="AH52" s="967"/>
      <c r="AI52" s="967"/>
      <c r="AJ52" s="967"/>
      <c r="AK52" s="967"/>
      <c r="AL52" s="730"/>
      <c r="AM52" s="568"/>
      <c r="AN52" s="622"/>
    </row>
    <row r="53" spans="1:62" x14ac:dyDescent="0.2">
      <c r="A53" s="567">
        <f t="shared" si="1"/>
        <v>46</v>
      </c>
      <c r="B53" s="731"/>
      <c r="C53" s="242" t="s">
        <v>572</v>
      </c>
      <c r="Q53" s="989" t="s">
        <v>916</v>
      </c>
      <c r="R53" s="989"/>
      <c r="S53" s="230" t="str">
        <f ca="1">Units!B19</f>
        <v>gpm</v>
      </c>
      <c r="T53" s="549"/>
      <c r="U53" s="569" t="s">
        <v>209</v>
      </c>
      <c r="V53" s="794"/>
      <c r="W53" s="730"/>
      <c r="X53" s="571"/>
      <c r="Y53" s="730"/>
      <c r="Z53" s="730"/>
      <c r="AA53" s="730"/>
      <c r="AB53" s="730"/>
      <c r="AC53" s="730"/>
      <c r="AD53" s="730"/>
      <c r="AE53" s="730"/>
      <c r="AF53" s="730"/>
      <c r="AG53" s="730"/>
      <c r="AH53" s="974"/>
      <c r="AI53" s="974"/>
      <c r="AJ53" s="974"/>
      <c r="AK53" s="974"/>
      <c r="AL53" s="730"/>
      <c r="AM53" s="568"/>
      <c r="AN53" s="646"/>
    </row>
    <row r="54" spans="1:62" x14ac:dyDescent="0.2">
      <c r="A54" s="567">
        <f t="shared" si="1"/>
        <v>47</v>
      </c>
      <c r="B54" s="731"/>
      <c r="C54" s="229" t="s">
        <v>181</v>
      </c>
      <c r="D54" s="226"/>
      <c r="E54" s="226"/>
      <c r="F54" s="445"/>
      <c r="G54" s="226"/>
      <c r="H54" s="766" t="s">
        <v>38</v>
      </c>
      <c r="I54" s="992"/>
      <c r="J54" s="992"/>
      <c r="K54" s="714" t="str">
        <f ca="1">Units!B19</f>
        <v>gpm</v>
      </c>
      <c r="L54" s="445"/>
      <c r="M54" s="226"/>
      <c r="N54" s="445"/>
      <c r="O54" s="766" t="s">
        <v>39</v>
      </c>
      <c r="P54" s="544"/>
      <c r="Q54" s="989"/>
      <c r="R54" s="989"/>
      <c r="S54" s="714" t="str">
        <f ca="1">Units!B19</f>
        <v>gpm</v>
      </c>
      <c r="T54" s="549"/>
      <c r="U54" s="572" t="s">
        <v>25</v>
      </c>
      <c r="V54" s="794"/>
      <c r="W54" s="730"/>
      <c r="X54" s="730"/>
      <c r="Y54" s="730"/>
      <c r="Z54" s="730"/>
      <c r="AA54" s="730"/>
      <c r="AB54" s="730"/>
      <c r="AC54" s="730"/>
      <c r="AD54" s="730"/>
      <c r="AE54" s="730"/>
      <c r="AF54" s="730"/>
      <c r="AG54" s="730"/>
      <c r="AH54" s="974"/>
      <c r="AI54" s="974"/>
      <c r="AJ54" s="974"/>
      <c r="AK54" s="974"/>
      <c r="AL54" s="730"/>
      <c r="AM54" s="568"/>
      <c r="AN54" s="646"/>
    </row>
    <row r="55" spans="1:62" x14ac:dyDescent="0.2">
      <c r="A55" s="567">
        <f t="shared" si="1"/>
        <v>48</v>
      </c>
      <c r="B55" s="731"/>
      <c r="C55" s="765" t="s">
        <v>726</v>
      </c>
      <c r="D55" s="227"/>
      <c r="E55" s="226"/>
      <c r="F55" s="445"/>
      <c r="G55" s="470"/>
      <c r="H55" s="740"/>
      <c r="I55" s="740"/>
      <c r="J55" s="740"/>
      <c r="K55" s="49"/>
      <c r="L55" s="772"/>
      <c r="N55" s="992"/>
      <c r="O55" s="992"/>
      <c r="P55" s="773" t="s">
        <v>148</v>
      </c>
      <c r="Q55" s="990"/>
      <c r="R55" s="990"/>
      <c r="S55" s="714" t="str">
        <f ca="1">Units!B19</f>
        <v>gpm</v>
      </c>
      <c r="T55" s="549"/>
      <c r="U55" s="573" t="s">
        <v>566</v>
      </c>
      <c r="V55" s="794"/>
      <c r="W55" s="730"/>
      <c r="X55" s="730"/>
      <c r="Y55" s="730"/>
      <c r="Z55" s="730"/>
      <c r="AA55" s="730"/>
      <c r="AB55" s="730"/>
      <c r="AC55" s="730"/>
      <c r="AD55" s="730"/>
      <c r="AE55" s="730"/>
      <c r="AF55" s="730"/>
      <c r="AG55" s="730"/>
      <c r="AH55" s="795"/>
      <c r="AI55" s="795"/>
      <c r="AJ55" s="974"/>
      <c r="AK55" s="974"/>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92"/>
      <c r="O56" s="992"/>
      <c r="P56" s="773" t="s">
        <v>148</v>
      </c>
      <c r="Q56" s="989"/>
      <c r="R56" s="989"/>
      <c r="S56" s="714" t="str">
        <f ca="1">Units!B19</f>
        <v>gpm</v>
      </c>
      <c r="T56" s="549"/>
      <c r="U56" s="573" t="s">
        <v>567</v>
      </c>
      <c r="V56" s="794"/>
      <c r="W56" s="730"/>
      <c r="X56" s="730"/>
      <c r="Y56" s="730"/>
      <c r="Z56" s="730"/>
      <c r="AA56" s="730"/>
      <c r="AB56" s="730"/>
      <c r="AC56" s="730"/>
      <c r="AD56" s="730"/>
      <c r="AE56" s="730"/>
      <c r="AF56" s="730"/>
      <c r="AG56" s="730"/>
      <c r="AH56" s="795"/>
      <c r="AI56" s="795"/>
      <c r="AJ56" s="974"/>
      <c r="AK56" s="974"/>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89"/>
      <c r="R57" s="989"/>
      <c r="S57" s="728" t="str">
        <f ca="1">Units!B11</f>
        <v>ft</v>
      </c>
      <c r="T57" s="549"/>
      <c r="U57" s="572" t="s">
        <v>568</v>
      </c>
      <c r="V57" s="794"/>
      <c r="W57" s="730"/>
      <c r="X57" s="730"/>
      <c r="Y57" s="730"/>
      <c r="Z57" s="730"/>
      <c r="AA57" s="730"/>
      <c r="AB57" s="730"/>
      <c r="AC57" s="730"/>
      <c r="AD57" s="730"/>
      <c r="AE57" s="730"/>
      <c r="AF57" s="730"/>
      <c r="AG57" s="730"/>
      <c r="AH57" s="795"/>
      <c r="AI57" s="795"/>
      <c r="AJ57" s="974"/>
      <c r="AK57" s="974"/>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89"/>
      <c r="R58" s="989"/>
      <c r="S58" s="728" t="str">
        <f ca="1">Units!B29</f>
        <v>HP</v>
      </c>
      <c r="T58" s="549"/>
      <c r="U58" s="572" t="s">
        <v>569</v>
      </c>
      <c r="V58" s="794"/>
      <c r="W58" s="730"/>
      <c r="X58" s="730"/>
      <c r="Y58" s="730"/>
      <c r="Z58" s="730"/>
      <c r="AA58" s="730"/>
      <c r="AB58" s="730"/>
      <c r="AC58" s="730"/>
      <c r="AD58" s="730"/>
      <c r="AE58" s="730"/>
      <c r="AF58" s="730"/>
      <c r="AG58" s="730"/>
      <c r="AH58" s="795"/>
      <c r="AI58" s="795"/>
      <c r="AJ58" s="974"/>
      <c r="AK58" s="974"/>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1067"/>
      <c r="R59" s="1067"/>
      <c r="S59" s="730" t="str">
        <f ca="1">Units!B11</f>
        <v>ft</v>
      </c>
      <c r="T59" s="549"/>
      <c r="U59" s="569" t="s">
        <v>570</v>
      </c>
      <c r="V59" s="794"/>
      <c r="W59" s="730"/>
      <c r="X59" s="730"/>
      <c r="Y59" s="730"/>
      <c r="Z59" s="730"/>
      <c r="AA59" s="730"/>
      <c r="AB59" s="730"/>
      <c r="AC59" s="730"/>
      <c r="AD59" s="730"/>
      <c r="AE59" s="730"/>
      <c r="AF59" s="730"/>
      <c r="AG59" s="730"/>
      <c r="AH59" s="967"/>
      <c r="AI59" s="967"/>
      <c r="AJ59" s="967"/>
      <c r="AK59" s="967"/>
      <c r="AL59" s="730"/>
      <c r="AM59" s="568"/>
      <c r="AN59" s="646"/>
    </row>
    <row r="60" spans="1:62" x14ac:dyDescent="0.2">
      <c r="A60" s="567">
        <f t="shared" si="1"/>
        <v>53</v>
      </c>
      <c r="B60" s="731"/>
      <c r="C60" s="226" t="s">
        <v>853</v>
      </c>
      <c r="Q60" s="1065"/>
      <c r="R60" s="1065"/>
      <c r="S60" s="730" t="str">
        <f ca="1">Units!B11</f>
        <v>ft</v>
      </c>
      <c r="T60" s="549"/>
      <c r="U60" s="572" t="s">
        <v>571</v>
      </c>
      <c r="V60" s="794"/>
      <c r="W60" s="730"/>
      <c r="X60" s="730"/>
      <c r="Y60" s="730"/>
      <c r="Z60" s="730"/>
      <c r="AA60" s="730"/>
      <c r="AB60" s="730"/>
      <c r="AC60" s="730"/>
      <c r="AD60" s="730"/>
      <c r="AE60" s="730"/>
      <c r="AF60" s="730"/>
      <c r="AG60" s="730"/>
      <c r="AH60" s="976"/>
      <c r="AI60" s="976"/>
      <c r="AJ60" s="976"/>
      <c r="AK60" s="976"/>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1068"/>
      <c r="R61" s="1068"/>
      <c r="S61" s="730" t="str">
        <f ca="1">Units!B11</f>
        <v>ft</v>
      </c>
      <c r="T61" s="549"/>
      <c r="U61" s="572" t="s">
        <v>863</v>
      </c>
      <c r="V61" s="794"/>
      <c r="W61" s="730"/>
      <c r="X61" s="730"/>
      <c r="Y61" s="730"/>
      <c r="Z61" s="730"/>
      <c r="AA61" s="730"/>
      <c r="AB61" s="730"/>
      <c r="AC61" s="730"/>
      <c r="AD61" s="730"/>
      <c r="AE61" s="730"/>
      <c r="AF61" s="730"/>
      <c r="AG61" s="730"/>
      <c r="AH61" s="977"/>
      <c r="AI61" s="977"/>
      <c r="AJ61" s="977"/>
      <c r="AK61" s="977"/>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1069"/>
      <c r="R62" s="1069"/>
      <c r="S62" s="226"/>
      <c r="T62" s="549"/>
      <c r="U62" s="572" t="s">
        <v>59</v>
      </c>
      <c r="V62" s="794"/>
      <c r="W62" s="730"/>
      <c r="X62" s="730"/>
      <c r="Y62" s="730"/>
      <c r="Z62" s="730"/>
      <c r="AA62" s="730"/>
      <c r="AB62" s="730"/>
      <c r="AC62" s="730"/>
      <c r="AD62" s="730"/>
      <c r="AE62" s="730"/>
      <c r="AF62" s="730"/>
      <c r="AG62" s="730"/>
      <c r="AH62" s="978" t="s">
        <v>47</v>
      </c>
      <c r="AI62" s="979"/>
      <c r="AJ62" s="979"/>
      <c r="AK62" s="979"/>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980" t="s">
        <v>47</v>
      </c>
      <c r="AI63" s="974"/>
      <c r="AJ63" s="974"/>
      <c r="AK63" s="974"/>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16"/>
      <c r="R64" s="1016"/>
      <c r="S64" s="230"/>
      <c r="T64" s="549"/>
      <c r="U64" s="229" t="s">
        <v>854</v>
      </c>
      <c r="V64" s="794"/>
      <c r="W64" s="730"/>
      <c r="X64" s="730"/>
      <c r="Y64" s="730"/>
      <c r="Z64" s="730"/>
      <c r="AA64" s="730"/>
      <c r="AB64" s="730"/>
      <c r="AC64" s="730"/>
      <c r="AD64" s="967"/>
      <c r="AE64" s="967"/>
      <c r="AF64" s="967"/>
      <c r="AG64" s="967"/>
      <c r="AH64" s="967"/>
      <c r="AI64" s="967"/>
      <c r="AJ64" s="967"/>
      <c r="AK64" s="967"/>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98"/>
      <c r="R65" s="998"/>
      <c r="S65" s="470" t="s">
        <v>45</v>
      </c>
      <c r="T65" s="549"/>
      <c r="U65" s="229" t="s">
        <v>855</v>
      </c>
      <c r="V65" s="794"/>
      <c r="W65" s="730"/>
      <c r="X65" s="730"/>
      <c r="Y65" s="730"/>
      <c r="Z65" s="730"/>
      <c r="AA65" s="730"/>
      <c r="AB65" s="730"/>
      <c r="AC65" s="730"/>
      <c r="AD65" s="730"/>
      <c r="AE65" s="730"/>
      <c r="AF65" s="730"/>
      <c r="AG65" s="730"/>
      <c r="AH65" s="979"/>
      <c r="AI65" s="979"/>
      <c r="AJ65" s="979"/>
      <c r="AK65" s="979"/>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91"/>
      <c r="R66" s="991"/>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98"/>
      <c r="R67" s="998"/>
      <c r="S67" s="230"/>
      <c r="T67" s="549"/>
      <c r="U67" s="100"/>
      <c r="AM67" s="568"/>
      <c r="AN67" s="646"/>
    </row>
    <row r="68" spans="1:40" x14ac:dyDescent="0.2">
      <c r="A68" s="567">
        <f t="shared" si="1"/>
        <v>61</v>
      </c>
      <c r="B68" s="731"/>
      <c r="C68" s="467" t="s">
        <v>687</v>
      </c>
      <c r="Q68" s="991"/>
      <c r="R68" s="991"/>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997"/>
      <c r="J70" s="997"/>
      <c r="K70" s="997"/>
      <c r="L70" s="997"/>
      <c r="M70" s="997"/>
      <c r="N70" s="997"/>
      <c r="O70" s="997"/>
      <c r="P70" s="997"/>
      <c r="Q70" s="997"/>
      <c r="R70" s="997"/>
      <c r="S70" s="997"/>
      <c r="T70" s="997"/>
      <c r="U70" s="547"/>
      <c r="V70" s="547"/>
      <c r="W70" s="547"/>
      <c r="X70" s="799" t="s">
        <v>48</v>
      </c>
      <c r="Y70" s="799"/>
      <c r="Z70" s="996"/>
      <c r="AA70" s="996"/>
      <c r="AB70" s="547"/>
      <c r="AC70" s="547"/>
      <c r="AD70" s="547"/>
      <c r="AE70" s="799" t="s">
        <v>271</v>
      </c>
      <c r="AF70" s="799"/>
      <c r="AG70" s="799"/>
      <c r="AH70" s="973"/>
      <c r="AI70" s="973"/>
      <c r="AJ70" s="800" t="s">
        <v>269</v>
      </c>
      <c r="AK70" s="975" t="str">
        <f>IF(C_PageNo_Total=0,"",C_PageNo_Total)</f>
        <v/>
      </c>
      <c r="AL70" s="975"/>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85" t="s">
        <v>49</v>
      </c>
      <c r="D4" s="986"/>
      <c r="E4" s="986"/>
      <c r="F4" s="986"/>
      <c r="G4" s="986"/>
      <c r="H4" s="986"/>
      <c r="I4" s="986"/>
      <c r="J4" s="986"/>
      <c r="K4" s="986"/>
      <c r="L4" s="986"/>
      <c r="M4" s="986"/>
      <c r="N4" s="986"/>
      <c r="O4" s="986"/>
      <c r="P4" s="986"/>
      <c r="Q4" s="986"/>
      <c r="R4" s="986"/>
      <c r="S4" s="986"/>
      <c r="T4" s="986"/>
      <c r="U4" s="986"/>
      <c r="V4" s="986"/>
      <c r="W4" s="986"/>
      <c r="X4" s="986"/>
      <c r="Y4" s="986"/>
      <c r="Z4" s="986"/>
      <c r="AA4" s="986"/>
      <c r="AB4" s="986"/>
      <c r="AC4" s="986"/>
      <c r="AD4" s="986"/>
      <c r="AE4" s="986"/>
      <c r="AF4" s="986"/>
      <c r="AG4" s="986"/>
      <c r="AH4" s="986"/>
      <c r="AI4" s="986"/>
      <c r="AJ4" s="986"/>
      <c r="AK4" s="986"/>
      <c r="AL4" s="986"/>
      <c r="AM4" s="987"/>
      <c r="AN4" s="197" t="s">
        <v>7</v>
      </c>
    </row>
    <row r="5" spans="1:40" x14ac:dyDescent="0.2">
      <c r="A5" s="107">
        <f t="shared" ref="A5:A20" si="0">A4+1</f>
        <v>2</v>
      </c>
      <c r="B5" s="107"/>
      <c r="C5" s="35" t="s">
        <v>150</v>
      </c>
      <c r="D5" s="6"/>
      <c r="E5" s="6"/>
      <c r="F5" s="6"/>
      <c r="G5" s="226"/>
      <c r="H5" s="226"/>
      <c r="I5" s="1062"/>
      <c r="J5" s="1062"/>
      <c r="K5" s="383" t="s">
        <v>149</v>
      </c>
      <c r="L5" s="226"/>
      <c r="M5" s="6"/>
      <c r="N5" s="6"/>
      <c r="O5" s="6"/>
      <c r="P5" s="6"/>
      <c r="Q5" s="6"/>
      <c r="R5" s="6"/>
      <c r="S5" s="6"/>
      <c r="T5" s="29"/>
      <c r="U5" s="35" t="s">
        <v>58</v>
      </c>
      <c r="V5" s="6"/>
      <c r="W5" s="6"/>
      <c r="X5" s="6"/>
      <c r="Y5" s="6"/>
      <c r="Z5" s="6"/>
      <c r="AA5" s="226"/>
      <c r="AB5" s="226"/>
      <c r="AC5" s="226"/>
      <c r="AE5" s="1062"/>
      <c r="AF5" s="1062"/>
      <c r="AG5" s="1062"/>
      <c r="AH5" s="1062"/>
      <c r="AI5" s="1062"/>
      <c r="AJ5" s="1062"/>
      <c r="AK5" s="1062"/>
      <c r="AL5" s="1062"/>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3"/>
      <c r="AG6" s="1133"/>
      <c r="AH6" s="1133"/>
      <c r="AI6" s="1133"/>
      <c r="AJ6" s="1133"/>
      <c r="AK6" s="1133"/>
      <c r="AL6" s="1133"/>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2"/>
      <c r="AL7" s="1102"/>
      <c r="AN7" s="557"/>
    </row>
    <row r="8" spans="1:40" x14ac:dyDescent="0.2">
      <c r="A8" s="107">
        <f t="shared" si="0"/>
        <v>5</v>
      </c>
      <c r="B8" s="167"/>
      <c r="C8" s="227"/>
      <c r="D8" s="20"/>
      <c r="E8" s="6"/>
      <c r="F8" s="6"/>
      <c r="G8" s="117"/>
      <c r="H8" s="1120"/>
      <c r="I8" s="1121"/>
      <c r="J8" s="1083" t="s">
        <v>151</v>
      </c>
      <c r="K8" s="1125"/>
      <c r="L8" s="1112" t="s">
        <v>152</v>
      </c>
      <c r="M8" s="1114"/>
      <c r="N8" s="1083" t="s">
        <v>153</v>
      </c>
      <c r="O8" s="1124"/>
      <c r="P8" s="1125"/>
      <c r="Q8" s="1112" t="s">
        <v>154</v>
      </c>
      <c r="R8" s="1113"/>
      <c r="S8" s="1114"/>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6"/>
      <c r="I9" s="1127"/>
      <c r="J9" s="1129"/>
      <c r="K9" s="1130"/>
      <c r="L9" s="1131"/>
      <c r="M9" s="1132"/>
      <c r="N9" s="1115"/>
      <c r="O9" s="1116"/>
      <c r="P9" s="1117"/>
      <c r="Q9" s="1118"/>
      <c r="R9" s="1094"/>
      <c r="S9" s="1119"/>
      <c r="T9" s="29"/>
      <c r="V9" s="20"/>
      <c r="W9" s="226"/>
      <c r="X9" s="226"/>
      <c r="Y9" s="146" t="s">
        <v>160</v>
      </c>
      <c r="Z9" s="226"/>
      <c r="AA9" s="226" t="s">
        <v>723</v>
      </c>
      <c r="AB9" s="390"/>
      <c r="AC9" s="226"/>
      <c r="AD9" s="226"/>
      <c r="AF9" s="1080"/>
      <c r="AG9" s="1080"/>
      <c r="AH9" s="374" t="str">
        <f ca="1">Units!B3</f>
        <v>psig</v>
      </c>
      <c r="AI9" s="391"/>
      <c r="AJ9" s="129" t="s">
        <v>63</v>
      </c>
      <c r="AK9" s="1075"/>
      <c r="AL9" s="1075"/>
      <c r="AM9" s="372" t="str">
        <f ca="1">Units!B32</f>
        <v>°F</v>
      </c>
      <c r="AN9" s="557"/>
    </row>
    <row r="10" spans="1:40" x14ac:dyDescent="0.2">
      <c r="A10" s="107">
        <f t="shared" si="0"/>
        <v>7</v>
      </c>
      <c r="B10" s="167"/>
      <c r="C10" s="6" t="s">
        <v>54</v>
      </c>
      <c r="D10" s="6"/>
      <c r="E10" s="6"/>
      <c r="F10" s="6"/>
      <c r="G10" s="117"/>
      <c r="H10" s="1097"/>
      <c r="I10" s="1128"/>
      <c r="J10" s="1122"/>
      <c r="K10" s="1123"/>
      <c r="L10" s="1085"/>
      <c r="M10" s="1086"/>
      <c r="N10" s="1085"/>
      <c r="O10" s="1104"/>
      <c r="P10" s="1086"/>
      <c r="Q10" s="1136"/>
      <c r="R10" s="1098"/>
      <c r="S10" s="1137"/>
      <c r="T10" s="386"/>
      <c r="V10" s="6"/>
      <c r="W10" s="6"/>
      <c r="X10" s="226"/>
      <c r="Y10" s="152" t="s">
        <v>161</v>
      </c>
      <c r="Z10" s="226"/>
      <c r="AA10" s="226"/>
      <c r="AB10" s="390"/>
      <c r="AC10" s="226"/>
      <c r="AD10" s="226"/>
      <c r="AF10" s="1075"/>
      <c r="AG10" s="1075"/>
      <c r="AH10" s="374" t="str">
        <f ca="1">Units!B3</f>
        <v>psig</v>
      </c>
      <c r="AI10" s="391"/>
      <c r="AJ10" s="129" t="s">
        <v>63</v>
      </c>
      <c r="AK10" s="1075"/>
      <c r="AL10" s="1075"/>
      <c r="AM10" s="372" t="str">
        <f ca="1">Units!B32</f>
        <v>°F</v>
      </c>
      <c r="AN10" s="557"/>
    </row>
    <row r="11" spans="1:40" x14ac:dyDescent="0.2">
      <c r="A11" s="107">
        <f t="shared" si="0"/>
        <v>8</v>
      </c>
      <c r="B11" s="167"/>
      <c r="C11" s="561" t="s">
        <v>720</v>
      </c>
      <c r="T11" s="387"/>
      <c r="AN11" s="557"/>
    </row>
    <row r="12" spans="1:40" x14ac:dyDescent="0.2">
      <c r="A12" s="107">
        <f t="shared" si="0"/>
        <v>9</v>
      </c>
      <c r="B12" s="167"/>
      <c r="H12" s="1141" t="s">
        <v>205</v>
      </c>
      <c r="I12" s="1142"/>
      <c r="J12" s="1134" t="s">
        <v>151</v>
      </c>
      <c r="K12" s="1084"/>
      <c r="L12" s="1112" t="s">
        <v>594</v>
      </c>
      <c r="M12" s="1082"/>
      <c r="N12" s="1081" t="s">
        <v>152</v>
      </c>
      <c r="O12" s="1082"/>
      <c r="P12" s="1083" t="s">
        <v>153</v>
      </c>
      <c r="Q12" s="1084"/>
      <c r="R12" s="1112" t="s">
        <v>593</v>
      </c>
      <c r="S12" s="1082"/>
      <c r="T12" s="29"/>
      <c r="V12" s="560" t="s">
        <v>590</v>
      </c>
      <c r="W12" s="6"/>
      <c r="X12" s="6"/>
      <c r="Y12" s="6"/>
      <c r="Z12" s="6"/>
      <c r="AA12" s="6"/>
      <c r="AB12" s="6"/>
      <c r="AC12" s="173"/>
      <c r="AD12" s="173"/>
      <c r="AE12" s="120"/>
      <c r="AF12" s="173"/>
      <c r="AG12" s="173"/>
      <c r="AH12" s="173"/>
      <c r="AI12" s="173"/>
      <c r="AJ12" s="173"/>
      <c r="AK12" s="1049"/>
      <c r="AL12" s="1049"/>
      <c r="AN12" s="557"/>
    </row>
    <row r="13" spans="1:40" x14ac:dyDescent="0.2">
      <c r="A13" s="107">
        <f t="shared" si="0"/>
        <v>10</v>
      </c>
      <c r="B13" s="167"/>
      <c r="C13" s="469" t="s">
        <v>592</v>
      </c>
      <c r="D13" s="227"/>
      <c r="E13" s="6"/>
      <c r="F13" s="6"/>
      <c r="G13" s="6"/>
      <c r="H13" s="1122"/>
      <c r="I13" s="1123"/>
      <c r="J13" s="1122"/>
      <c r="K13" s="1123"/>
      <c r="L13" s="1146"/>
      <c r="M13" s="1147"/>
      <c r="N13" s="1085"/>
      <c r="O13" s="1086"/>
      <c r="P13" s="1085"/>
      <c r="Q13" s="1086"/>
      <c r="R13" s="1136"/>
      <c r="S13" s="1137"/>
      <c r="T13" s="29"/>
      <c r="V13" s="469" t="s">
        <v>591</v>
      </c>
      <c r="AK13" s="1049"/>
      <c r="AL13" s="1049"/>
      <c r="AN13" s="557"/>
    </row>
    <row r="14" spans="1:40" x14ac:dyDescent="0.2">
      <c r="A14" s="107">
        <f t="shared" si="0"/>
        <v>11</v>
      </c>
      <c r="B14" s="167"/>
      <c r="C14" s="6" t="s">
        <v>55</v>
      </c>
      <c r="D14" s="6"/>
      <c r="E14" s="6"/>
      <c r="F14" s="6"/>
      <c r="G14" s="6"/>
      <c r="H14" s="1122"/>
      <c r="I14" s="1123"/>
      <c r="J14" s="1122"/>
      <c r="K14" s="1123"/>
      <c r="L14" s="1085"/>
      <c r="M14" s="1086"/>
      <c r="N14" s="1085"/>
      <c r="O14" s="1086"/>
      <c r="P14" s="1085"/>
      <c r="Q14" s="1086"/>
      <c r="R14" s="1122"/>
      <c r="S14" s="1123"/>
      <c r="T14" s="29"/>
      <c r="V14" s="35" t="s">
        <v>64</v>
      </c>
      <c r="W14" s="6"/>
      <c r="X14" s="6"/>
      <c r="Y14" s="6"/>
      <c r="Z14" s="6" t="s">
        <v>65</v>
      </c>
      <c r="AA14" s="226"/>
      <c r="AB14" s="226"/>
      <c r="AC14" s="226"/>
      <c r="AD14" s="226"/>
      <c r="AE14" s="21"/>
      <c r="AF14" s="21"/>
      <c r="AG14" s="21"/>
      <c r="AH14" s="21"/>
      <c r="AJ14" s="13"/>
      <c r="AK14" s="1062"/>
      <c r="AL14" s="1062"/>
      <c r="AN14" s="557"/>
    </row>
    <row r="15" spans="1:40" x14ac:dyDescent="0.2">
      <c r="A15" s="107">
        <f t="shared" si="0"/>
        <v>12</v>
      </c>
      <c r="B15" s="167"/>
      <c r="C15" s="6" t="s">
        <v>56</v>
      </c>
      <c r="D15" s="6"/>
      <c r="E15" s="6"/>
      <c r="F15" s="6"/>
      <c r="G15" s="6"/>
      <c r="H15" s="1122"/>
      <c r="I15" s="1123"/>
      <c r="J15" s="1122"/>
      <c r="K15" s="1123"/>
      <c r="L15" s="1085"/>
      <c r="M15" s="1086"/>
      <c r="N15" s="1085"/>
      <c r="O15" s="1086"/>
      <c r="P15" s="1085"/>
      <c r="Q15" s="1086"/>
      <c r="R15" s="1122"/>
      <c r="S15" s="1123"/>
      <c r="T15" s="29"/>
      <c r="V15" s="6"/>
      <c r="W15" s="20" t="s">
        <v>140</v>
      </c>
      <c r="X15" s="6" t="s">
        <v>155</v>
      </c>
      <c r="Y15" s="6"/>
      <c r="Z15" s="21"/>
      <c r="AA15" s="21"/>
      <c r="AB15" s="21"/>
      <c r="AC15" s="21"/>
      <c r="AD15" s="21"/>
      <c r="AE15" s="21"/>
      <c r="AF15" s="21"/>
      <c r="AG15" s="21"/>
      <c r="AH15" s="226"/>
      <c r="AJ15" s="1049"/>
      <c r="AK15" s="1049"/>
      <c r="AL15" s="1049"/>
      <c r="AN15" s="557"/>
    </row>
    <row r="16" spans="1:40" x14ac:dyDescent="0.2">
      <c r="A16" s="107">
        <f t="shared" si="0"/>
        <v>13</v>
      </c>
      <c r="B16" s="167"/>
      <c r="C16" s="226" t="s">
        <v>595</v>
      </c>
      <c r="D16" s="6"/>
      <c r="E16" s="6"/>
      <c r="F16" s="6"/>
      <c r="G16" s="6"/>
      <c r="H16" s="1122"/>
      <c r="I16" s="1123"/>
      <c r="J16" s="1122"/>
      <c r="K16" s="1123"/>
      <c r="L16" s="1085"/>
      <c r="M16" s="1086"/>
      <c r="N16" s="1085"/>
      <c r="O16" s="1086"/>
      <c r="P16" s="1085"/>
      <c r="Q16" s="1086"/>
      <c r="R16" s="1122"/>
      <c r="S16" s="1123"/>
      <c r="T16" s="29"/>
      <c r="V16" s="20"/>
      <c r="W16" s="20" t="s">
        <v>140</v>
      </c>
      <c r="X16" s="21" t="s">
        <v>684</v>
      </c>
      <c r="Y16" s="21"/>
      <c r="Z16" s="6"/>
      <c r="AA16" s="173"/>
      <c r="AB16" s="173"/>
      <c r="AC16" s="173"/>
      <c r="AD16" s="173"/>
      <c r="AE16" s="173"/>
      <c r="AF16" s="173"/>
      <c r="AG16" s="173"/>
      <c r="AH16" s="173"/>
      <c r="AJ16" s="377"/>
      <c r="AK16" s="1076"/>
      <c r="AL16" s="1076"/>
      <c r="AN16" s="558"/>
    </row>
    <row r="17" spans="1:40" x14ac:dyDescent="0.2">
      <c r="A17" s="107">
        <f t="shared" si="0"/>
        <v>14</v>
      </c>
      <c r="B17" s="167"/>
      <c r="C17" s="226" t="s">
        <v>596</v>
      </c>
      <c r="D17" s="6"/>
      <c r="E17" s="6"/>
      <c r="F17" s="6"/>
      <c r="G17" s="6"/>
      <c r="H17" s="1122"/>
      <c r="I17" s="1123"/>
      <c r="J17" s="1122"/>
      <c r="K17" s="1123"/>
      <c r="L17" s="1085"/>
      <c r="M17" s="1086"/>
      <c r="N17" s="1085"/>
      <c r="O17" s="1086"/>
      <c r="P17" s="1085"/>
      <c r="Q17" s="1086"/>
      <c r="R17" s="1122"/>
      <c r="S17" s="1123"/>
      <c r="T17" s="29"/>
      <c r="W17" s="20" t="s">
        <v>140</v>
      </c>
      <c r="X17" s="580" t="s">
        <v>683</v>
      </c>
      <c r="AK17" s="1076"/>
      <c r="AL17" s="1076"/>
      <c r="AN17" s="557"/>
    </row>
    <row r="18" spans="1:40" x14ac:dyDescent="0.2">
      <c r="A18" s="107">
        <f t="shared" si="0"/>
        <v>15</v>
      </c>
      <c r="B18" s="167"/>
      <c r="C18" s="226" t="s">
        <v>597</v>
      </c>
      <c r="D18" s="6"/>
      <c r="E18" s="21"/>
      <c r="F18" s="21"/>
      <c r="G18" s="21"/>
      <c r="H18" s="1091"/>
      <c r="I18" s="1092"/>
      <c r="J18" s="1091"/>
      <c r="K18" s="1092"/>
      <c r="L18" s="1088"/>
      <c r="M18" s="1089"/>
      <c r="N18" s="1088"/>
      <c r="O18" s="1089"/>
      <c r="P18" s="1088"/>
      <c r="Q18" s="1089"/>
      <c r="R18" s="1149"/>
      <c r="S18" s="1150"/>
      <c r="T18" s="29"/>
      <c r="V18" s="526" t="s">
        <v>599</v>
      </c>
      <c r="AN18" s="557"/>
    </row>
    <row r="19" spans="1:40" ht="12.75" customHeight="1" x14ac:dyDescent="0.2">
      <c r="A19" s="107">
        <f t="shared" si="0"/>
        <v>16</v>
      </c>
      <c r="B19" s="167"/>
      <c r="T19" s="386"/>
      <c r="V19" s="476" t="s">
        <v>800</v>
      </c>
      <c r="AK19" s="994"/>
      <c r="AL19" s="994"/>
      <c r="AN19" s="167"/>
    </row>
    <row r="20" spans="1:40" x14ac:dyDescent="0.2">
      <c r="A20" s="107">
        <f t="shared" si="0"/>
        <v>17</v>
      </c>
      <c r="B20" s="167"/>
      <c r="D20" s="226" t="s">
        <v>583</v>
      </c>
      <c r="P20" s="1062"/>
      <c r="Q20" s="1062"/>
      <c r="R20" s="1062"/>
      <c r="S20" s="1062"/>
      <c r="T20" s="386"/>
      <c r="V20" s="476" t="s">
        <v>600</v>
      </c>
      <c r="AK20" s="1111"/>
      <c r="AL20" s="1111"/>
      <c r="AN20" s="199"/>
    </row>
    <row r="21" spans="1:40" x14ac:dyDescent="0.2">
      <c r="A21" s="107">
        <f t="shared" ref="A21:A27" si="1">A20+1</f>
        <v>18</v>
      </c>
      <c r="B21" s="167"/>
      <c r="D21" s="226" t="s">
        <v>584</v>
      </c>
      <c r="R21" s="1071"/>
      <c r="S21" s="1071"/>
      <c r="T21" s="386"/>
      <c r="V21" s="484" t="s">
        <v>820</v>
      </c>
      <c r="AK21" s="1111"/>
      <c r="AL21" s="1111"/>
      <c r="AN21" s="167"/>
    </row>
    <row r="22" spans="1:40" x14ac:dyDescent="0.2">
      <c r="A22" s="107">
        <f t="shared" si="1"/>
        <v>19</v>
      </c>
      <c r="B22" s="167"/>
      <c r="D22" s="226" t="s">
        <v>585</v>
      </c>
      <c r="P22" s="1062"/>
      <c r="Q22" s="1062"/>
      <c r="R22" s="1062"/>
      <c r="S22" s="1062"/>
      <c r="T22" s="386"/>
      <c r="V22" s="484" t="s">
        <v>802</v>
      </c>
      <c r="AK22" s="1087"/>
      <c r="AL22" s="1087"/>
      <c r="AN22" s="167"/>
    </row>
    <row r="23" spans="1:40" x14ac:dyDescent="0.2">
      <c r="A23" s="107">
        <f t="shared" si="1"/>
        <v>20</v>
      </c>
      <c r="B23" s="167"/>
      <c r="D23" s="226" t="s">
        <v>586</v>
      </c>
      <c r="R23" s="1071"/>
      <c r="S23" s="1071"/>
      <c r="T23" s="29"/>
      <c r="V23" s="476"/>
      <c r="AN23" s="167"/>
    </row>
    <row r="24" spans="1:40" x14ac:dyDescent="0.2">
      <c r="A24" s="107">
        <f t="shared" si="1"/>
        <v>21</v>
      </c>
      <c r="B24" s="167"/>
      <c r="Q24" s="228" t="s">
        <v>877</v>
      </c>
      <c r="R24" s="1070"/>
      <c r="S24" s="1070"/>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70"/>
      <c r="S25" s="1070"/>
      <c r="T25" s="386"/>
      <c r="V25" s="549" t="s">
        <v>25</v>
      </c>
      <c r="W25" s="154"/>
      <c r="X25" s="154"/>
      <c r="Y25" s="154"/>
      <c r="Z25" s="154"/>
      <c r="AA25" s="154"/>
      <c r="AB25" s="154"/>
      <c r="AC25" s="154"/>
      <c r="AD25" s="154"/>
      <c r="AE25" s="154"/>
      <c r="AF25" s="154"/>
      <c r="AG25" s="154"/>
      <c r="AH25" s="1140"/>
      <c r="AI25" s="1140"/>
      <c r="AJ25" s="1140"/>
      <c r="AK25" s="1140"/>
      <c r="AL25" s="1140"/>
      <c r="AN25" s="167"/>
    </row>
    <row r="26" spans="1:40" x14ac:dyDescent="0.2">
      <c r="A26" s="107">
        <f t="shared" si="1"/>
        <v>23</v>
      </c>
      <c r="B26" s="167"/>
      <c r="D26" s="226" t="s">
        <v>587</v>
      </c>
      <c r="R26" s="1070"/>
      <c r="S26" s="1070"/>
      <c r="T26" s="29"/>
      <c r="V26" s="549" t="s">
        <v>26</v>
      </c>
      <c r="W26" s="154"/>
      <c r="X26" s="154"/>
      <c r="Y26" s="154"/>
      <c r="Z26" s="154"/>
      <c r="AA26" s="154"/>
      <c r="AB26" s="154"/>
      <c r="AC26" s="154"/>
      <c r="AD26" s="154"/>
      <c r="AE26" s="154"/>
      <c r="AF26" s="154"/>
      <c r="AG26" s="154"/>
      <c r="AH26" s="1139"/>
      <c r="AI26" s="1139"/>
      <c r="AJ26" s="1139"/>
      <c r="AK26" s="1139"/>
      <c r="AL26" s="1139"/>
      <c r="AN26" s="167"/>
    </row>
    <row r="27" spans="1:40" x14ac:dyDescent="0.2">
      <c r="A27" s="107">
        <f t="shared" si="1"/>
        <v>24</v>
      </c>
      <c r="B27" s="167"/>
      <c r="D27" s="226" t="s">
        <v>588</v>
      </c>
      <c r="R27" s="1071"/>
      <c r="S27" s="1071"/>
      <c r="T27" s="29"/>
      <c r="V27" s="549" t="s">
        <v>601</v>
      </c>
      <c r="W27" s="230"/>
      <c r="X27" s="230"/>
      <c r="Y27" s="230"/>
      <c r="Z27" s="230"/>
      <c r="AA27" s="230"/>
      <c r="AB27" s="230"/>
      <c r="AC27" s="230"/>
      <c r="AD27" s="230"/>
      <c r="AE27" s="230"/>
      <c r="AF27" s="230"/>
      <c r="AG27" s="230"/>
      <c r="AH27" s="230"/>
      <c r="AI27" s="230"/>
      <c r="AJ27" s="1138"/>
      <c r="AK27" s="1138"/>
      <c r="AL27" s="1138"/>
      <c r="AN27" s="167"/>
    </row>
    <row r="28" spans="1:40" x14ac:dyDescent="0.2">
      <c r="A28" s="107">
        <f>A27+1</f>
        <v>25</v>
      </c>
      <c r="B28" s="167"/>
      <c r="D28" s="226" t="s">
        <v>589</v>
      </c>
      <c r="R28" s="1070"/>
      <c r="S28" s="1070"/>
      <c r="T28" s="386"/>
      <c r="V28" s="549" t="s">
        <v>50</v>
      </c>
      <c r="W28" s="230"/>
      <c r="X28" s="230"/>
      <c r="Y28" s="230"/>
      <c r="Z28" s="230"/>
      <c r="AA28" s="230"/>
      <c r="AB28" s="230"/>
      <c r="AC28" s="230"/>
      <c r="AD28" s="230"/>
      <c r="AE28" s="230"/>
      <c r="AF28" s="230"/>
      <c r="AG28" s="230"/>
      <c r="AH28" s="230"/>
      <c r="AI28" s="230"/>
      <c r="AK28" s="1138"/>
      <c r="AL28" s="1138"/>
      <c r="AM28" s="230" t="str">
        <f ca="1">Units!B13</f>
        <v>in.</v>
      </c>
      <c r="AN28" s="198"/>
    </row>
    <row r="29" spans="1:40" x14ac:dyDescent="0.2">
      <c r="A29" s="107">
        <f t="shared" ref="A29:A39" si="2">A28+1</f>
        <v>26</v>
      </c>
      <c r="B29" s="167"/>
      <c r="D29" s="580" t="s">
        <v>679</v>
      </c>
      <c r="P29" s="1143"/>
      <c r="Q29" s="1143"/>
      <c r="R29" s="1143"/>
      <c r="S29" s="1143"/>
      <c r="T29" s="29"/>
      <c r="V29" s="549" t="s">
        <v>51</v>
      </c>
      <c r="W29" s="230"/>
      <c r="X29" s="230"/>
      <c r="Y29" s="230"/>
      <c r="Z29" s="230"/>
      <c r="AA29" s="230"/>
      <c r="AB29" s="230"/>
      <c r="AC29" s="230"/>
      <c r="AD29" s="230"/>
      <c r="AE29" s="230"/>
      <c r="AF29" s="230"/>
      <c r="AG29" s="230"/>
      <c r="AH29" s="230"/>
      <c r="AI29" s="230"/>
      <c r="AK29" s="1138"/>
      <c r="AL29" s="1138"/>
      <c r="AM29" s="230"/>
      <c r="AN29" s="167"/>
    </row>
    <row r="30" spans="1:40" x14ac:dyDescent="0.2">
      <c r="A30" s="107">
        <f t="shared" si="2"/>
        <v>27</v>
      </c>
      <c r="B30" s="167"/>
      <c r="D30" s="580" t="s">
        <v>680</v>
      </c>
      <c r="R30" s="1071"/>
      <c r="S30" s="1071"/>
      <c r="T30" s="29"/>
      <c r="V30" s="549" t="s">
        <v>602</v>
      </c>
      <c r="W30" s="230"/>
      <c r="X30" s="230"/>
      <c r="Y30" s="230"/>
      <c r="Z30" s="230"/>
      <c r="AA30" s="230"/>
      <c r="AB30" s="230"/>
      <c r="AC30" s="230"/>
      <c r="AD30" s="230"/>
      <c r="AE30" s="230"/>
      <c r="AF30" s="230"/>
      <c r="AH30" s="230"/>
      <c r="AI30" s="230"/>
      <c r="AJ30" s="230"/>
      <c r="AK30" s="1111"/>
      <c r="AL30" s="1111"/>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87"/>
      <c r="AL31" s="1087"/>
      <c r="AN31" s="167"/>
    </row>
    <row r="32" spans="1:40" x14ac:dyDescent="0.2">
      <c r="A32" s="107">
        <f t="shared" si="2"/>
        <v>29</v>
      </c>
      <c r="B32" s="167"/>
      <c r="C32" s="985" t="s">
        <v>740</v>
      </c>
      <c r="D32" s="986"/>
      <c r="E32" s="986"/>
      <c r="F32" s="986"/>
      <c r="G32" s="986"/>
      <c r="H32" s="986"/>
      <c r="I32" s="986"/>
      <c r="J32" s="986"/>
      <c r="K32" s="986"/>
      <c r="L32" s="986"/>
      <c r="M32" s="986"/>
      <c r="N32" s="986"/>
      <c r="O32" s="986"/>
      <c r="P32" s="986"/>
      <c r="Q32" s="986"/>
      <c r="R32" s="986"/>
      <c r="S32" s="986"/>
      <c r="T32" s="987"/>
      <c r="V32" s="549" t="s">
        <v>752</v>
      </c>
      <c r="W32" s="161"/>
      <c r="X32" s="161"/>
      <c r="Y32" s="161"/>
      <c r="Z32" s="576"/>
      <c r="AA32" s="576"/>
      <c r="AB32" s="576"/>
      <c r="AC32" s="576"/>
      <c r="AD32" s="576"/>
      <c r="AE32" s="576"/>
      <c r="AF32" s="576"/>
      <c r="AH32" s="576"/>
      <c r="AI32" s="576"/>
      <c r="AJ32" s="576"/>
      <c r="AK32" s="1087"/>
      <c r="AL32" s="1087"/>
      <c r="AN32" s="200"/>
    </row>
    <row r="33" spans="1:40" x14ac:dyDescent="0.2">
      <c r="A33" s="107">
        <f t="shared" si="2"/>
        <v>30</v>
      </c>
      <c r="B33" s="167"/>
      <c r="C33" s="6" t="s">
        <v>57</v>
      </c>
      <c r="D33" s="6"/>
      <c r="E33" s="6"/>
      <c r="F33" s="6"/>
      <c r="G33" s="6"/>
      <c r="H33" s="21"/>
      <c r="I33" s="226"/>
      <c r="J33" s="226"/>
      <c r="K33" s="120"/>
      <c r="L33" s="120"/>
      <c r="M33" s="1077"/>
      <c r="N33" s="1077"/>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72"/>
      <c r="R34" s="1072"/>
      <c r="S34" s="809" t="str">
        <f ca="1">Units!B32</f>
        <v>°F</v>
      </c>
      <c r="T34" s="713" t="e">
        <f>Units!#REF!</f>
        <v>#REF!</v>
      </c>
      <c r="U34" s="100"/>
      <c r="V34" s="806"/>
      <c r="W34" s="161"/>
      <c r="X34" s="161"/>
      <c r="Y34" s="161"/>
      <c r="Z34" s="161"/>
      <c r="AA34" s="161"/>
      <c r="AB34" s="161"/>
      <c r="AC34" s="161"/>
      <c r="AD34" s="161"/>
      <c r="AE34" s="161"/>
      <c r="AF34" s="161"/>
      <c r="AH34" s="161"/>
      <c r="AI34" s="161"/>
      <c r="AJ34" s="161"/>
      <c r="AK34" s="1087"/>
      <c r="AL34" s="1087"/>
      <c r="AN34" s="167"/>
    </row>
    <row r="35" spans="1:40" x14ac:dyDescent="0.2">
      <c r="A35" s="107">
        <f t="shared" si="2"/>
        <v>32</v>
      </c>
      <c r="B35" s="167"/>
      <c r="C35" s="226" t="s">
        <v>878</v>
      </c>
      <c r="J35" s="128"/>
      <c r="K35" s="128"/>
      <c r="L35" s="6"/>
      <c r="M35" s="556"/>
      <c r="N35" s="556"/>
      <c r="O35" s="556"/>
      <c r="P35" s="556"/>
      <c r="Q35" s="1102"/>
      <c r="R35" s="1102"/>
      <c r="T35" s="369"/>
      <c r="U35" s="100"/>
      <c r="V35" s="484" t="s">
        <v>753</v>
      </c>
      <c r="W35" s="161"/>
      <c r="X35" s="161"/>
      <c r="Y35" s="161"/>
      <c r="Z35" s="161"/>
      <c r="AA35" s="161"/>
      <c r="AB35" s="161"/>
      <c r="AC35" s="161"/>
      <c r="AD35" s="161"/>
      <c r="AE35" s="161"/>
      <c r="AF35" s="161"/>
      <c r="AH35" s="1135"/>
      <c r="AI35" s="1135"/>
      <c r="AJ35" s="1135"/>
      <c r="AK35" s="1135"/>
      <c r="AL35" s="1135"/>
      <c r="AN35" s="170"/>
    </row>
    <row r="36" spans="1:40" x14ac:dyDescent="0.2">
      <c r="A36" s="107">
        <f t="shared" si="2"/>
        <v>33</v>
      </c>
      <c r="B36" s="167"/>
      <c r="C36" s="226" t="s">
        <v>744</v>
      </c>
      <c r="I36" s="128"/>
      <c r="J36" s="128"/>
      <c r="K36" s="128"/>
      <c r="L36" s="128"/>
      <c r="M36" s="556"/>
      <c r="N36" s="556"/>
      <c r="O36" s="556"/>
      <c r="P36" s="1074"/>
      <c r="Q36" s="1074"/>
      <c r="R36" s="1074"/>
      <c r="T36" s="369"/>
      <c r="U36" s="100"/>
      <c r="V36" s="484" t="s">
        <v>756</v>
      </c>
      <c r="W36" s="161"/>
      <c r="X36" s="161"/>
      <c r="Y36" s="161"/>
      <c r="Z36" s="161"/>
      <c r="AA36" s="161"/>
      <c r="AB36" s="161"/>
      <c r="AC36" s="161"/>
      <c r="AD36" s="161"/>
      <c r="AE36" s="161"/>
      <c r="AF36" s="161"/>
      <c r="AH36" s="161"/>
      <c r="AI36" s="1148"/>
      <c r="AJ36" s="1148"/>
      <c r="AK36" s="1148"/>
      <c r="AL36" s="1148"/>
      <c r="AN36" s="167"/>
    </row>
    <row r="37" spans="1:40" x14ac:dyDescent="0.2">
      <c r="A37" s="107">
        <f t="shared" si="2"/>
        <v>34</v>
      </c>
      <c r="B37" s="167"/>
      <c r="C37" s="6" t="s">
        <v>118</v>
      </c>
      <c r="D37" s="6"/>
      <c r="E37" s="6"/>
      <c r="F37" s="385"/>
      <c r="G37" s="128"/>
      <c r="H37" s="128"/>
      <c r="I37" s="128"/>
      <c r="J37" s="128"/>
      <c r="K37" s="128"/>
      <c r="L37" s="173"/>
      <c r="M37" s="1072"/>
      <c r="N37" s="1072"/>
      <c r="O37" s="1072"/>
      <c r="P37" s="1072"/>
      <c r="Q37" s="1072"/>
      <c r="R37" s="1072"/>
      <c r="T37" s="369"/>
      <c r="U37" s="100"/>
      <c r="V37" s="484" t="s">
        <v>603</v>
      </c>
      <c r="W37" s="161"/>
      <c r="X37" s="161"/>
      <c r="Y37" s="161"/>
      <c r="Z37" s="161"/>
      <c r="AA37" s="161"/>
      <c r="AB37" s="161"/>
      <c r="AC37" s="161"/>
      <c r="AD37" s="161"/>
      <c r="AE37" s="161"/>
      <c r="AF37" s="161"/>
      <c r="AH37" s="161"/>
      <c r="AI37" s="161"/>
      <c r="AJ37" s="161"/>
      <c r="AK37" s="1111"/>
      <c r="AL37" s="1111"/>
      <c r="AN37" s="167"/>
    </row>
    <row r="38" spans="1:40" x14ac:dyDescent="0.2">
      <c r="A38" s="107">
        <f t="shared" si="2"/>
        <v>35</v>
      </c>
      <c r="B38" s="167"/>
      <c r="C38" s="374" t="str">
        <f>IF(LEFT(I5,2)="VS","BOWL :","CASE :")</f>
        <v>CASE :</v>
      </c>
      <c r="D38" s="6"/>
      <c r="E38" s="6"/>
      <c r="F38" s="385"/>
      <c r="G38" s="128"/>
      <c r="H38" s="128"/>
      <c r="I38" s="128"/>
      <c r="J38" s="385"/>
      <c r="K38" s="128"/>
      <c r="L38" s="128"/>
      <c r="M38" s="1072"/>
      <c r="N38" s="1072"/>
      <c r="O38" s="1072"/>
      <c r="P38" s="1072"/>
      <c r="Q38" s="1072"/>
      <c r="R38" s="1072"/>
      <c r="T38" s="369"/>
      <c r="U38" s="101"/>
      <c r="AN38" s="167"/>
    </row>
    <row r="39" spans="1:40" x14ac:dyDescent="0.2">
      <c r="A39" s="107">
        <f t="shared" si="2"/>
        <v>36</v>
      </c>
      <c r="B39" s="167"/>
      <c r="C39" s="559" t="s">
        <v>580</v>
      </c>
      <c r="D39" s="6"/>
      <c r="E39" s="6"/>
      <c r="F39" s="6"/>
      <c r="G39" s="6"/>
      <c r="H39" s="385"/>
      <c r="I39" s="128"/>
      <c r="J39" s="128"/>
      <c r="K39" s="128"/>
      <c r="L39" s="128"/>
      <c r="M39" s="1072"/>
      <c r="N39" s="1072"/>
      <c r="O39" s="1072"/>
      <c r="P39" s="1072"/>
      <c r="Q39" s="1072"/>
      <c r="R39" s="1072"/>
      <c r="T39" s="369"/>
      <c r="U39" s="1081" t="s">
        <v>156</v>
      </c>
      <c r="V39" s="1090"/>
      <c r="W39" s="1090"/>
      <c r="X39" s="1090"/>
      <c r="Y39" s="1090"/>
      <c r="Z39" s="1090"/>
      <c r="AA39" s="1090"/>
      <c r="AB39" s="1090"/>
      <c r="AC39" s="1090"/>
      <c r="AD39" s="1090"/>
      <c r="AE39" s="1090"/>
      <c r="AF39" s="1090"/>
      <c r="AG39" s="1090"/>
      <c r="AH39" s="1090"/>
      <c r="AI39" s="1090"/>
      <c r="AJ39" s="1090"/>
      <c r="AK39" s="1090"/>
      <c r="AL39" s="1090"/>
      <c r="AM39" s="1082"/>
      <c r="AN39" s="167"/>
    </row>
    <row r="40" spans="1:40" x14ac:dyDescent="0.2">
      <c r="A40" s="107">
        <f>A39+1</f>
        <v>37</v>
      </c>
      <c r="B40" s="167"/>
      <c r="C40" s="6" t="s">
        <v>119</v>
      </c>
      <c r="D40" s="6"/>
      <c r="E40" s="173"/>
      <c r="F40" s="385"/>
      <c r="G40" s="128"/>
      <c r="H40" s="128"/>
      <c r="I40" s="120"/>
      <c r="J40" s="128"/>
      <c r="K40" s="6"/>
      <c r="L40" s="120"/>
      <c r="M40" s="1072"/>
      <c r="N40" s="1072"/>
      <c r="O40" s="1072"/>
      <c r="P40" s="1072"/>
      <c r="Q40" s="1072"/>
      <c r="R40" s="1072"/>
      <c r="T40" s="369"/>
      <c r="U40" s="810"/>
      <c r="V40" s="6" t="s">
        <v>157</v>
      </c>
      <c r="W40" s="6"/>
      <c r="X40" s="6"/>
      <c r="Y40" s="6"/>
      <c r="Z40" s="6"/>
      <c r="AA40" s="6"/>
      <c r="AB40" s="6"/>
      <c r="AC40" s="226"/>
      <c r="AD40" s="226"/>
      <c r="AF40" s="1094"/>
      <c r="AG40" s="1094"/>
      <c r="AH40" s="1094"/>
      <c r="AI40" s="1094"/>
      <c r="AJ40" s="1094"/>
      <c r="AK40" s="1094"/>
      <c r="AL40" s="1094"/>
      <c r="AM40" s="1094"/>
      <c r="AN40" s="198"/>
    </row>
    <row r="41" spans="1:40" x14ac:dyDescent="0.2">
      <c r="A41" s="107">
        <f t="shared" ref="A41:A54" si="3">A40+1</f>
        <v>38</v>
      </c>
      <c r="B41" s="167"/>
      <c r="C41" s="6" t="s">
        <v>120</v>
      </c>
      <c r="D41" s="6"/>
      <c r="E41" s="6"/>
      <c r="F41" s="120"/>
      <c r="G41" s="120"/>
      <c r="H41" s="120"/>
      <c r="I41" s="128"/>
      <c r="J41" s="128"/>
      <c r="K41" s="128"/>
      <c r="L41" s="128"/>
      <c r="M41" s="1072"/>
      <c r="N41" s="1072"/>
      <c r="O41" s="1072"/>
      <c r="P41" s="1072"/>
      <c r="Q41" s="1072"/>
      <c r="R41" s="1072"/>
      <c r="T41" s="369"/>
      <c r="U41" s="229"/>
      <c r="V41" s="595" t="s">
        <v>762</v>
      </c>
      <c r="W41" s="36"/>
      <c r="X41" s="226"/>
      <c r="Y41" s="226"/>
      <c r="Z41" s="226"/>
      <c r="AA41" s="226"/>
      <c r="AB41" s="226"/>
      <c r="AC41" s="226"/>
      <c r="AD41" s="226"/>
      <c r="AF41" s="1093"/>
      <c r="AG41" s="1093"/>
      <c r="AH41" s="1093"/>
      <c r="AI41" s="1093"/>
      <c r="AJ41" s="1093"/>
      <c r="AK41" s="1093"/>
      <c r="AL41" s="1093"/>
      <c r="AM41" s="1093"/>
      <c r="AN41" s="167"/>
    </row>
    <row r="42" spans="1:40" x14ac:dyDescent="0.2">
      <c r="A42" s="107">
        <f t="shared" si="3"/>
        <v>39</v>
      </c>
      <c r="B42" s="167"/>
      <c r="C42" s="6" t="s">
        <v>121</v>
      </c>
      <c r="D42" s="6"/>
      <c r="E42" s="6"/>
      <c r="F42" s="21"/>
      <c r="G42" s="21"/>
      <c r="H42" s="385"/>
      <c r="I42" s="128"/>
      <c r="J42" s="128"/>
      <c r="K42" s="128"/>
      <c r="L42" s="128"/>
      <c r="M42" s="1072"/>
      <c r="N42" s="1072"/>
      <c r="O42" s="1072"/>
      <c r="P42" s="1072"/>
      <c r="Q42" s="1072"/>
      <c r="R42" s="1072"/>
      <c r="T42" s="369"/>
      <c r="U42" s="229"/>
      <c r="V42" s="595" t="s">
        <v>759</v>
      </c>
      <c r="AF42" s="1093"/>
      <c r="AG42" s="1093"/>
      <c r="AH42" s="1093"/>
      <c r="AI42" s="1093"/>
      <c r="AJ42" s="1093"/>
      <c r="AK42" s="1093"/>
      <c r="AL42" s="1093"/>
      <c r="AM42" s="1093"/>
      <c r="AN42" s="167"/>
    </row>
    <row r="43" spans="1:40" x14ac:dyDescent="0.2">
      <c r="A43" s="107">
        <f t="shared" si="3"/>
        <v>40</v>
      </c>
      <c r="B43" s="167"/>
      <c r="C43" s="6" t="s">
        <v>66</v>
      </c>
      <c r="D43" s="6"/>
      <c r="E43" s="385"/>
      <c r="F43" s="128"/>
      <c r="G43" s="128"/>
      <c r="H43" s="128"/>
      <c r="I43" s="385"/>
      <c r="J43" s="128"/>
      <c r="K43" s="128"/>
      <c r="L43" s="128"/>
      <c r="M43" s="1072"/>
      <c r="N43" s="1072"/>
      <c r="O43" s="1072"/>
      <c r="P43" s="1072"/>
      <c r="Q43" s="1072"/>
      <c r="R43" s="1072"/>
      <c r="T43" s="369"/>
      <c r="U43" s="811"/>
      <c r="V43" s="36" t="s">
        <v>162</v>
      </c>
      <c r="W43" s="36"/>
      <c r="X43" s="36"/>
      <c r="Y43" s="36"/>
      <c r="Z43" s="226"/>
      <c r="AA43" s="226"/>
      <c r="AB43" s="226"/>
      <c r="AC43" s="226"/>
      <c r="AD43" s="226"/>
      <c r="AF43" s="1078"/>
      <c r="AG43" s="1078"/>
      <c r="AH43" s="1078"/>
      <c r="AI43" s="1078"/>
      <c r="AJ43" s="1078"/>
      <c r="AK43" s="1078"/>
      <c r="AL43" s="1078"/>
      <c r="AM43" s="1078"/>
      <c r="AN43" s="167"/>
    </row>
    <row r="44" spans="1:40" x14ac:dyDescent="0.2">
      <c r="A44" s="107">
        <f t="shared" si="3"/>
        <v>41</v>
      </c>
      <c r="B44" s="167"/>
      <c r="C44" s="226" t="s">
        <v>710</v>
      </c>
      <c r="M44" s="1072"/>
      <c r="N44" s="1072"/>
      <c r="O44" s="1072"/>
      <c r="P44" s="1072"/>
      <c r="Q44" s="1072"/>
      <c r="R44" s="1072"/>
      <c r="T44" s="808"/>
      <c r="U44" s="812"/>
      <c r="V44" s="469" t="s">
        <v>879</v>
      </c>
      <c r="W44" s="226"/>
      <c r="X44" s="6"/>
      <c r="Y44" s="6"/>
      <c r="Z44" s="6"/>
      <c r="AA44" s="6"/>
      <c r="AB44" s="6"/>
      <c r="AC44" s="6"/>
      <c r="AD44" s="226"/>
      <c r="AF44" s="1070"/>
      <c r="AG44" s="1070"/>
      <c r="AH44" s="1070"/>
      <c r="AI44" s="1070"/>
      <c r="AJ44" s="1070"/>
      <c r="AK44" s="1070"/>
      <c r="AL44" s="1070"/>
      <c r="AM44" s="1070"/>
      <c r="AN44" s="167"/>
    </row>
    <row r="45" spans="1:40" x14ac:dyDescent="0.2">
      <c r="A45" s="107">
        <f t="shared" si="3"/>
        <v>42</v>
      </c>
      <c r="B45" s="167"/>
      <c r="C45" s="241" t="s">
        <v>581</v>
      </c>
      <c r="D45" s="241"/>
      <c r="E45" s="241"/>
      <c r="F45" s="241"/>
      <c r="G45" s="241"/>
      <c r="H45" s="241"/>
      <c r="I45" s="385"/>
      <c r="J45" s="128"/>
      <c r="K45" s="128"/>
      <c r="L45" s="128"/>
      <c r="M45" s="1076"/>
      <c r="N45" s="1076"/>
      <c r="O45" s="1076"/>
      <c r="P45" s="1076"/>
      <c r="Q45" s="1076"/>
      <c r="R45" s="1076"/>
      <c r="T45" s="808"/>
      <c r="U45" s="812"/>
      <c r="V45" s="6" t="s">
        <v>158</v>
      </c>
      <c r="W45" s="226"/>
      <c r="X45" s="6"/>
      <c r="Y45" s="173"/>
      <c r="Z45" s="173"/>
      <c r="AA45" s="120"/>
      <c r="AB45" s="120"/>
      <c r="AC45" s="120"/>
      <c r="AD45" s="226"/>
      <c r="AF45" s="1098"/>
      <c r="AG45" s="1098"/>
      <c r="AH45" s="1098"/>
      <c r="AI45" s="1098"/>
      <c r="AJ45" s="1098"/>
      <c r="AK45" s="1098"/>
      <c r="AL45" s="1098"/>
      <c r="AM45" s="1098"/>
      <c r="AN45" s="167"/>
    </row>
    <row r="46" spans="1:40" ht="3" customHeight="1" x14ac:dyDescent="0.2">
      <c r="A46" s="107"/>
      <c r="B46" s="167"/>
      <c r="C46" s="384"/>
      <c r="D46" s="123"/>
      <c r="E46" s="232"/>
      <c r="F46" s="232"/>
      <c r="G46" s="232"/>
      <c r="H46" s="232"/>
      <c r="I46" s="385"/>
      <c r="J46" s="128"/>
      <c r="K46" s="128"/>
      <c r="L46" s="128"/>
      <c r="M46" s="128"/>
      <c r="N46" s="226"/>
      <c r="O46" s="1073"/>
      <c r="P46" s="1073"/>
      <c r="Q46" s="1073"/>
      <c r="R46" s="1073"/>
      <c r="S46" s="1073"/>
      <c r="T46" s="1073"/>
      <c r="U46" s="384"/>
      <c r="AI46" s="546"/>
      <c r="AJ46" s="546"/>
      <c r="AK46" s="546"/>
      <c r="AL46" s="546"/>
      <c r="AM46" s="546"/>
      <c r="AN46" s="168"/>
    </row>
    <row r="47" spans="1:40" x14ac:dyDescent="0.2">
      <c r="A47" s="567">
        <f>A45+1</f>
        <v>43</v>
      </c>
      <c r="B47" s="167"/>
      <c r="C47" s="1099" t="s">
        <v>735</v>
      </c>
      <c r="D47" s="1100"/>
      <c r="E47" s="1100"/>
      <c r="F47" s="1100"/>
      <c r="G47" s="1100"/>
      <c r="H47" s="1100"/>
      <c r="I47" s="1100"/>
      <c r="J47" s="1100"/>
      <c r="K47" s="1100"/>
      <c r="L47" s="1100"/>
      <c r="M47" s="1100"/>
      <c r="N47" s="1100"/>
      <c r="O47" s="1100"/>
      <c r="P47" s="1100"/>
      <c r="Q47" s="1100"/>
      <c r="R47" s="1100"/>
      <c r="S47" s="1100"/>
      <c r="T47" s="1101"/>
      <c r="U47" s="384"/>
      <c r="V47" s="630" t="s">
        <v>159</v>
      </c>
      <c r="W47" s="226"/>
      <c r="X47" s="173"/>
      <c r="Y47" s="173"/>
      <c r="Z47" s="173"/>
      <c r="AA47" s="173"/>
      <c r="AB47" s="173"/>
      <c r="AC47" s="173"/>
      <c r="AD47" s="173"/>
      <c r="AF47" s="397"/>
      <c r="AG47" s="397"/>
      <c r="AH47" s="397"/>
      <c r="AI47" s="1053"/>
      <c r="AJ47" s="1054"/>
      <c r="AK47" s="1054"/>
      <c r="AL47" s="1054"/>
      <c r="AM47" s="1054"/>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1"/>
      <c r="AM48" s="1071"/>
      <c r="AN48" s="168"/>
    </row>
    <row r="49" spans="1:40" ht="12.75" customHeight="1" x14ac:dyDescent="0.2">
      <c r="A49" s="140">
        <f t="shared" si="3"/>
        <v>45</v>
      </c>
      <c r="B49" s="167"/>
      <c r="C49" s="26"/>
      <c r="D49" s="6" t="s">
        <v>59</v>
      </c>
      <c r="E49" s="6"/>
      <c r="F49" s="6"/>
      <c r="G49" s="1105"/>
      <c r="H49" s="1058"/>
      <c r="I49" s="1058"/>
      <c r="J49" s="1058"/>
      <c r="K49" s="173"/>
      <c r="L49" s="394" t="s">
        <v>47</v>
      </c>
      <c r="M49" s="395"/>
      <c r="N49" s="1072"/>
      <c r="O49" s="1072"/>
      <c r="P49" s="1072"/>
      <c r="Q49" s="1072"/>
      <c r="R49" s="1072"/>
      <c r="U49" s="389"/>
      <c r="V49" s="36"/>
      <c r="W49" s="36"/>
      <c r="X49" s="36"/>
      <c r="Y49" s="36"/>
      <c r="Z49" s="36"/>
      <c r="AA49" s="243" t="s">
        <v>166</v>
      </c>
      <c r="AB49" s="36" t="s">
        <v>165</v>
      </c>
      <c r="AC49" s="36"/>
      <c r="AD49" s="36"/>
      <c r="AF49" s="36"/>
      <c r="AG49" s="36"/>
      <c r="AH49" s="36"/>
      <c r="AI49" s="36"/>
      <c r="AJ49" s="36"/>
      <c r="AK49" s="36"/>
      <c r="AL49" s="1071"/>
      <c r="AM49" s="1071"/>
      <c r="AN49" s="171"/>
    </row>
    <row r="50" spans="1:40" x14ac:dyDescent="0.2">
      <c r="A50" s="140">
        <f t="shared" si="3"/>
        <v>46</v>
      </c>
      <c r="B50" s="618"/>
      <c r="C50" s="26"/>
      <c r="D50" s="6" t="s">
        <v>62</v>
      </c>
      <c r="E50" s="6"/>
      <c r="F50" s="6"/>
      <c r="G50" s="1098"/>
      <c r="H50" s="1104"/>
      <c r="I50" s="1104"/>
      <c r="J50" s="1104"/>
      <c r="K50" s="120"/>
      <c r="L50" s="376" t="s">
        <v>47</v>
      </c>
      <c r="M50" s="395"/>
      <c r="N50" s="1106"/>
      <c r="O50" s="1106"/>
      <c r="P50" s="1106"/>
      <c r="Q50" s="1106"/>
      <c r="R50" s="1106"/>
      <c r="T50" s="103"/>
      <c r="U50" s="389"/>
      <c r="V50" s="595" t="s">
        <v>760</v>
      </c>
      <c r="W50" s="36"/>
      <c r="X50" s="36"/>
      <c r="Y50" s="36"/>
      <c r="Z50" s="36"/>
      <c r="AL50" s="1070"/>
      <c r="AM50" s="1070"/>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70"/>
      <c r="AM51" s="1070"/>
      <c r="AN51" s="618"/>
    </row>
    <row r="52" spans="1:40" x14ac:dyDescent="0.2">
      <c r="A52" s="140">
        <f t="shared" si="3"/>
        <v>48</v>
      </c>
      <c r="B52" s="618"/>
      <c r="R52" s="1087"/>
      <c r="S52" s="1087"/>
      <c r="U52" s="100"/>
      <c r="V52" s="595" t="s">
        <v>630</v>
      </c>
      <c r="AL52" s="1071"/>
      <c r="AM52" s="1071"/>
      <c r="AN52" s="618"/>
    </row>
    <row r="53" spans="1:40" ht="12.75" customHeight="1" x14ac:dyDescent="0.2">
      <c r="A53" s="140">
        <f t="shared" si="3"/>
        <v>49</v>
      </c>
      <c r="B53" s="618"/>
      <c r="C53" s="21" t="s">
        <v>167</v>
      </c>
      <c r="D53" s="6"/>
      <c r="E53" s="21"/>
      <c r="F53" s="21"/>
      <c r="H53" s="226" t="s">
        <v>805</v>
      </c>
      <c r="I53" s="226"/>
      <c r="J53" s="226"/>
      <c r="K53" s="226"/>
      <c r="L53" s="226"/>
      <c r="M53" s="21"/>
      <c r="N53" s="371"/>
      <c r="O53" s="1102"/>
      <c r="P53" s="1102"/>
      <c r="Q53" s="1102"/>
      <c r="R53" s="1102"/>
      <c r="S53" s="1102"/>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87"/>
      <c r="S54" s="1087"/>
      <c r="U54" s="575"/>
      <c r="V54" s="1103"/>
      <c r="W54" s="1103"/>
      <c r="X54" s="1103"/>
      <c r="Y54" s="1103"/>
      <c r="Z54" s="1103"/>
      <c r="AA54" s="1103"/>
      <c r="AB54" s="1103"/>
      <c r="AC54" s="1103"/>
      <c r="AD54" s="1103"/>
      <c r="AE54" s="1103"/>
      <c r="AF54" s="1103"/>
      <c r="AG54" s="1103"/>
      <c r="AH54" s="1103"/>
      <c r="AI54" s="1103"/>
      <c r="AJ54" s="1103"/>
      <c r="AK54" s="1103"/>
      <c r="AL54" s="1103"/>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10"/>
      <c r="S55" s="1110"/>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111"/>
      <c r="S56" s="1111"/>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03"/>
      <c r="W57" s="1103"/>
      <c r="X57" s="1103"/>
      <c r="Y57" s="1103"/>
      <c r="Z57" s="1103"/>
      <c r="AA57" s="1103"/>
      <c r="AB57" s="1103"/>
      <c r="AC57" s="1103"/>
      <c r="AD57" s="1103"/>
      <c r="AE57" s="1103"/>
      <c r="AF57" s="1103"/>
      <c r="AG57" s="1103"/>
      <c r="AH57" s="1103"/>
      <c r="AI57" s="1103"/>
      <c r="AJ57" s="1103"/>
      <c r="AK57" s="1103"/>
      <c r="AL57" s="1103"/>
      <c r="AM57" s="226"/>
      <c r="AN57" s="618"/>
    </row>
    <row r="58" spans="1:40" ht="12.75" customHeight="1" x14ac:dyDescent="0.2">
      <c r="A58" s="140" t="s">
        <v>714</v>
      </c>
      <c r="B58" s="618"/>
      <c r="D58" s="994"/>
      <c r="E58" s="994"/>
      <c r="F58" s="994"/>
      <c r="G58" s="994"/>
      <c r="H58" s="994"/>
      <c r="I58" s="994"/>
      <c r="J58" s="994"/>
      <c r="K58" s="994"/>
      <c r="L58" s="994"/>
      <c r="M58" s="994"/>
      <c r="N58" s="994"/>
      <c r="O58" s="994"/>
      <c r="P58" s="994"/>
      <c r="Q58" s="994"/>
      <c r="R58" s="994"/>
      <c r="S58" s="994"/>
      <c r="T58" s="994"/>
      <c r="U58" s="599"/>
      <c r="V58" s="1103"/>
      <c r="W58" s="1103"/>
      <c r="X58" s="1103"/>
      <c r="Y58" s="1103"/>
      <c r="Z58" s="1103"/>
      <c r="AA58" s="1103"/>
      <c r="AB58" s="1103"/>
      <c r="AC58" s="1103"/>
      <c r="AD58" s="1103"/>
      <c r="AE58" s="1103"/>
      <c r="AF58" s="1103"/>
      <c r="AG58" s="1103"/>
      <c r="AH58" s="1103"/>
      <c r="AI58" s="1103"/>
      <c r="AJ58" s="1103"/>
      <c r="AK58" s="1103"/>
      <c r="AL58" s="1103"/>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078"/>
      <c r="Q59" s="1078"/>
      <c r="R59" s="1078"/>
      <c r="S59" s="1078"/>
      <c r="T59" s="815"/>
      <c r="U59" s="599"/>
      <c r="V59" s="1103"/>
      <c r="W59" s="1103"/>
      <c r="X59" s="1103"/>
      <c r="Y59" s="1103"/>
      <c r="Z59" s="1103"/>
      <c r="AA59" s="1103"/>
      <c r="AB59" s="1103"/>
      <c r="AC59" s="1103"/>
      <c r="AD59" s="1103"/>
      <c r="AE59" s="1103"/>
      <c r="AF59" s="1103"/>
      <c r="AG59" s="1103"/>
      <c r="AH59" s="1103"/>
      <c r="AI59" s="1103"/>
      <c r="AJ59" s="1103"/>
      <c r="AK59" s="1103"/>
      <c r="AL59" s="1103"/>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111"/>
      <c r="S60" s="1111"/>
      <c r="U60" s="599"/>
      <c r="V60" s="1103"/>
      <c r="W60" s="1103"/>
      <c r="X60" s="1103"/>
      <c r="Y60" s="1103"/>
      <c r="Z60" s="1103"/>
      <c r="AA60" s="1103"/>
      <c r="AB60" s="1103"/>
      <c r="AC60" s="1103"/>
      <c r="AD60" s="1103"/>
      <c r="AE60" s="1103"/>
      <c r="AF60" s="1103"/>
      <c r="AG60" s="1103"/>
      <c r="AH60" s="1103"/>
      <c r="AI60" s="1103"/>
      <c r="AJ60" s="1103"/>
      <c r="AK60" s="1103"/>
      <c r="AL60" s="1103"/>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095"/>
      <c r="S61" s="1095"/>
      <c r="U61" s="599"/>
      <c r="V61" s="1079"/>
      <c r="W61" s="1079"/>
      <c r="X61" s="1079"/>
      <c r="Y61" s="1079"/>
      <c r="Z61" s="1079"/>
      <c r="AA61" s="1079"/>
      <c r="AB61" s="1079"/>
      <c r="AC61" s="1079"/>
      <c r="AD61" s="1079"/>
      <c r="AE61" s="1079"/>
      <c r="AF61" s="1079"/>
      <c r="AG61" s="1079"/>
      <c r="AH61" s="1079"/>
      <c r="AI61" s="1079"/>
      <c r="AJ61" s="1079"/>
      <c r="AK61" s="1079"/>
      <c r="AL61" s="1079"/>
      <c r="AM61" s="226"/>
      <c r="AN61" s="618"/>
    </row>
    <row r="62" spans="1:40" ht="12.75" customHeight="1" x14ac:dyDescent="0.2">
      <c r="A62" s="140" t="s">
        <v>717</v>
      </c>
      <c r="B62" s="618"/>
      <c r="D62" s="6" t="s">
        <v>168</v>
      </c>
      <c r="E62" s="6"/>
      <c r="F62" s="21"/>
      <c r="G62" s="21"/>
      <c r="H62" s="227"/>
      <c r="I62" s="26"/>
      <c r="J62" s="21"/>
      <c r="K62" s="240"/>
      <c r="L62" s="240"/>
      <c r="M62" s="240"/>
      <c r="N62" s="240"/>
      <c r="O62" s="1049"/>
      <c r="P62" s="1049"/>
      <c r="Q62" s="1049"/>
      <c r="R62" s="1049"/>
      <c r="S62" s="1049"/>
      <c r="U62" s="600"/>
      <c r="V62" s="1079"/>
      <c r="W62" s="1079"/>
      <c r="X62" s="1079"/>
      <c r="Y62" s="1079"/>
      <c r="Z62" s="1079"/>
      <c r="AA62" s="1079"/>
      <c r="AB62" s="1079"/>
      <c r="AC62" s="1079"/>
      <c r="AD62" s="1079"/>
      <c r="AE62" s="1079"/>
      <c r="AF62" s="1079"/>
      <c r="AG62" s="1079"/>
      <c r="AH62" s="1079"/>
      <c r="AI62" s="1079"/>
      <c r="AJ62" s="1079"/>
      <c r="AK62" s="1079"/>
      <c r="AL62" s="1079"/>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45"/>
      <c r="J65" s="1145"/>
      <c r="K65" s="1145"/>
      <c r="L65" s="1145"/>
      <c r="M65" s="1145"/>
      <c r="N65" s="1145"/>
      <c r="O65" s="1145"/>
      <c r="P65" s="1145"/>
      <c r="Q65" s="1145"/>
      <c r="R65" s="1145"/>
      <c r="S65" s="1145"/>
      <c r="T65" s="1145"/>
      <c r="W65" s="104" t="s">
        <v>48</v>
      </c>
      <c r="X65" s="104"/>
      <c r="Y65" s="1109"/>
      <c r="Z65" s="1109"/>
      <c r="AE65" s="292" t="s">
        <v>271</v>
      </c>
      <c r="AF65" s="292"/>
      <c r="AG65" s="292"/>
      <c r="AH65" s="1108"/>
      <c r="AI65" s="1108"/>
      <c r="AJ65" s="292" t="s">
        <v>269</v>
      </c>
      <c r="AK65" s="1096" t="str">
        <f>IF(C_PageNo_Total=0,"",C_PageNo_Total)</f>
        <v/>
      </c>
      <c r="AL65" s="1096"/>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07"/>
      <c r="R80" s="1107"/>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097"/>
      <c r="R86" s="1097"/>
      <c r="S86" s="374"/>
    </row>
    <row r="87" spans="3:19" x14ac:dyDescent="0.2">
      <c r="C87" s="26"/>
      <c r="D87" s="226"/>
      <c r="E87" s="21"/>
      <c r="F87" s="21"/>
      <c r="G87" s="6"/>
      <c r="H87" s="6"/>
      <c r="I87" s="6"/>
      <c r="J87" s="6"/>
      <c r="K87" s="6"/>
      <c r="L87" s="503"/>
      <c r="M87" s="173"/>
      <c r="N87" s="146"/>
      <c r="O87" s="581"/>
      <c r="P87" s="597"/>
      <c r="Q87" s="1097"/>
      <c r="R87" s="1097"/>
      <c r="S87" s="374"/>
    </row>
    <row r="88" spans="3:19" x14ac:dyDescent="0.2">
      <c r="C88" s="393"/>
      <c r="D88" s="226"/>
      <c r="E88" s="6"/>
      <c r="F88" s="6"/>
      <c r="G88" s="6"/>
      <c r="H88" s="6"/>
      <c r="I88" s="6"/>
      <c r="J88" s="6"/>
      <c r="K88" s="6"/>
      <c r="L88" s="503"/>
      <c r="M88" s="6"/>
      <c r="N88" s="146"/>
      <c r="O88" s="581"/>
      <c r="P88" s="597"/>
      <c r="Q88" s="1097"/>
      <c r="R88" s="1097"/>
      <c r="S88" s="374"/>
    </row>
    <row r="89" spans="3:19" x14ac:dyDescent="0.2">
      <c r="C89" s="393"/>
      <c r="D89" s="226"/>
      <c r="E89" s="6"/>
      <c r="F89" s="6"/>
      <c r="G89" s="6"/>
      <c r="H89" s="6"/>
      <c r="I89" s="6"/>
      <c r="J89" s="6"/>
      <c r="K89" s="6"/>
      <c r="L89" s="503"/>
      <c r="M89" s="6"/>
      <c r="N89" s="146"/>
      <c r="O89" s="581"/>
      <c r="P89" s="597"/>
      <c r="Q89" s="1097"/>
      <c r="R89" s="1097"/>
      <c r="S89" s="374"/>
    </row>
    <row r="90" spans="3:19" x14ac:dyDescent="0.2">
      <c r="C90" s="393"/>
      <c r="D90" s="226"/>
      <c r="E90" s="6"/>
      <c r="F90" s="6"/>
      <c r="G90" s="6"/>
      <c r="H90" s="6"/>
      <c r="I90" s="6"/>
      <c r="J90" s="6"/>
      <c r="K90" s="6"/>
      <c r="L90" s="503"/>
      <c r="M90" s="6"/>
      <c r="N90" s="146"/>
      <c r="O90" s="581"/>
      <c r="P90" s="597"/>
      <c r="Q90" s="1097"/>
      <c r="R90" s="1097"/>
      <c r="S90" s="374"/>
    </row>
    <row r="91" spans="3:19" x14ac:dyDescent="0.2">
      <c r="C91" s="35"/>
      <c r="D91" s="6"/>
      <c r="E91" s="6"/>
      <c r="F91" s="6"/>
      <c r="G91" s="6"/>
      <c r="H91" s="6"/>
      <c r="I91" s="6"/>
      <c r="J91" s="20"/>
      <c r="K91" s="503"/>
      <c r="L91" s="6"/>
      <c r="M91" s="6"/>
      <c r="N91" s="130"/>
      <c r="O91" s="598"/>
      <c r="P91" s="598"/>
      <c r="Q91" s="1107"/>
      <c r="R91" s="1107"/>
      <c r="S91" s="6"/>
    </row>
    <row r="92" spans="3:19" x14ac:dyDescent="0.2">
      <c r="C92" s="20"/>
      <c r="D92" s="6"/>
      <c r="E92" s="6"/>
      <c r="F92" s="226"/>
      <c r="G92" s="503"/>
      <c r="H92" s="503"/>
      <c r="I92" s="503"/>
      <c r="J92" s="503"/>
      <c r="K92" s="503"/>
      <c r="L92" s="503"/>
      <c r="M92" s="173"/>
      <c r="N92" s="1097"/>
      <c r="O92" s="1097"/>
      <c r="P92" s="1097"/>
      <c r="Q92" s="1097"/>
      <c r="R92" s="1097"/>
      <c r="S92" s="503"/>
    </row>
    <row r="93" spans="3:19" x14ac:dyDescent="0.2">
      <c r="C93" s="20"/>
      <c r="D93" s="6"/>
      <c r="E93" s="6"/>
      <c r="F93" s="395"/>
      <c r="G93" s="395"/>
      <c r="H93" s="395"/>
      <c r="I93" s="395"/>
      <c r="J93" s="395"/>
      <c r="K93" s="395"/>
      <c r="L93" s="395"/>
      <c r="M93" s="395"/>
      <c r="N93" s="1073"/>
      <c r="O93" s="1073"/>
      <c r="P93" s="1073"/>
      <c r="Q93" s="1073"/>
      <c r="R93" s="1073"/>
      <c r="S93" s="173"/>
    </row>
    <row r="94" spans="3:19" x14ac:dyDescent="0.2">
      <c r="C94" s="20"/>
      <c r="D94" s="6"/>
      <c r="E94" s="6"/>
      <c r="F94" s="6"/>
      <c r="G94" s="374"/>
      <c r="H94" s="6"/>
      <c r="I94" s="6"/>
      <c r="J94" s="173"/>
      <c r="K94" s="503"/>
      <c r="L94" s="503"/>
      <c r="M94" s="503"/>
      <c r="N94" s="1073"/>
      <c r="O94" s="1073"/>
      <c r="P94" s="1073"/>
      <c r="Q94" s="1073"/>
      <c r="R94" s="1073"/>
      <c r="S94" s="173"/>
    </row>
    <row r="95" spans="3:19" x14ac:dyDescent="0.2">
      <c r="C95" s="20"/>
      <c r="D95" s="6"/>
      <c r="E95" s="6"/>
      <c r="F95" s="6"/>
      <c r="G95" s="6"/>
      <c r="H95" s="173"/>
      <c r="I95" s="503"/>
      <c r="J95" s="503"/>
      <c r="K95" s="503"/>
      <c r="L95" s="503"/>
      <c r="M95" s="503"/>
      <c r="N95" s="1097"/>
      <c r="O95" s="1097"/>
      <c r="P95" s="1097"/>
      <c r="Q95" s="1097"/>
      <c r="R95" s="1097"/>
      <c r="S95" s="173"/>
    </row>
    <row r="96" spans="3:19" x14ac:dyDescent="0.2">
      <c r="C96" s="20"/>
      <c r="D96" s="6"/>
      <c r="E96" s="6"/>
      <c r="F96" s="6"/>
      <c r="G96" s="6"/>
      <c r="H96" s="6"/>
      <c r="I96" s="6"/>
      <c r="J96" s="503"/>
      <c r="K96" s="503"/>
      <c r="L96" s="503"/>
      <c r="M96" s="503"/>
      <c r="N96" s="1107"/>
      <c r="O96" s="1107"/>
      <c r="P96" s="1107"/>
      <c r="Q96" s="1107"/>
      <c r="R96" s="1107"/>
      <c r="S96" s="173"/>
    </row>
    <row r="97" spans="3:19" x14ac:dyDescent="0.2">
      <c r="C97" s="20"/>
      <c r="D97" s="6"/>
      <c r="E97" s="6"/>
      <c r="F97" s="21"/>
      <c r="G97" s="6"/>
      <c r="H97" s="6"/>
      <c r="I97" s="173"/>
      <c r="J97" s="503"/>
      <c r="K97" s="503"/>
      <c r="L97" s="503"/>
      <c r="M97" s="173"/>
      <c r="N97" s="1073"/>
      <c r="O97" s="1073"/>
      <c r="P97" s="1073"/>
      <c r="Q97" s="1073"/>
      <c r="R97" s="1073"/>
      <c r="S97" s="374"/>
    </row>
    <row r="98" spans="3:19" x14ac:dyDescent="0.2">
      <c r="C98" s="20"/>
      <c r="D98" s="6"/>
      <c r="E98" s="6"/>
      <c r="F98" s="21"/>
      <c r="G98" s="6"/>
      <c r="H98" s="6"/>
      <c r="I98" s="173"/>
      <c r="J98" s="503"/>
      <c r="K98" s="503"/>
      <c r="L98" s="503"/>
      <c r="M98" s="173"/>
      <c r="N98" s="1073"/>
      <c r="O98" s="1073"/>
      <c r="P98" s="1073"/>
      <c r="Q98" s="1073"/>
      <c r="R98" s="1073"/>
      <c r="S98" s="173"/>
    </row>
    <row r="99" spans="3:19" x14ac:dyDescent="0.2">
      <c r="C99" s="21"/>
      <c r="D99" s="6"/>
      <c r="E99" s="6"/>
      <c r="F99" s="6"/>
      <c r="G99" s="6"/>
      <c r="H99" s="6"/>
      <c r="I99" s="6"/>
      <c r="J99" s="6"/>
      <c r="K99" s="6"/>
      <c r="L99" s="6"/>
      <c r="M99" s="503"/>
      <c r="N99" s="1144"/>
      <c r="O99" s="1144"/>
      <c r="P99" s="1144"/>
      <c r="Q99" s="1144"/>
      <c r="R99" s="1144"/>
      <c r="S99" s="503"/>
    </row>
    <row r="100" spans="3:19" x14ac:dyDescent="0.2">
      <c r="G100" s="453"/>
      <c r="H100" s="453"/>
      <c r="I100" s="453"/>
      <c r="J100" s="453"/>
      <c r="K100" s="453"/>
      <c r="L100" s="453"/>
      <c r="M100" s="453"/>
      <c r="N100" s="453"/>
      <c r="O100" s="453"/>
      <c r="P100" s="453"/>
      <c r="Q100" s="453"/>
      <c r="R100" s="453"/>
      <c r="S100" s="453"/>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34" t="s">
        <v>631</v>
      </c>
      <c r="D4" s="1155"/>
      <c r="E4" s="1155"/>
      <c r="F4" s="1155"/>
      <c r="G4" s="1155"/>
      <c r="H4" s="1155"/>
      <c r="I4" s="1155"/>
      <c r="J4" s="1155"/>
      <c r="K4" s="1155"/>
      <c r="L4" s="1155"/>
      <c r="M4" s="1155"/>
      <c r="N4" s="1155"/>
      <c r="O4" s="1155"/>
      <c r="P4" s="1155"/>
      <c r="Q4" s="1155"/>
      <c r="R4" s="1155"/>
      <c r="S4" s="1155"/>
      <c r="T4" s="1084"/>
      <c r="U4" s="1083" t="s">
        <v>660</v>
      </c>
      <c r="V4" s="1124"/>
      <c r="W4" s="1124"/>
      <c r="X4" s="1124"/>
      <c r="Y4" s="1124"/>
      <c r="Z4" s="1124"/>
      <c r="AA4" s="1124"/>
      <c r="AB4" s="1124"/>
      <c r="AC4" s="1124"/>
      <c r="AD4" s="1124"/>
      <c r="AE4" s="1124"/>
      <c r="AF4" s="1124"/>
      <c r="AG4" s="1124"/>
      <c r="AH4" s="1124"/>
      <c r="AI4" s="1124"/>
      <c r="AJ4" s="1124"/>
      <c r="AK4" s="1124"/>
      <c r="AL4" s="1124"/>
      <c r="AM4" s="1125"/>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111"/>
      <c r="S5" s="1111"/>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87"/>
      <c r="AK6" s="108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9"/>
      <c r="S7" s="1159"/>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7"/>
      <c r="X8" s="1157"/>
      <c r="Y8" s="1157"/>
      <c r="Z8" s="1157"/>
      <c r="AA8" s="1157"/>
      <c r="AB8" s="1157"/>
      <c r="AC8" s="1157"/>
      <c r="AD8" s="1157"/>
      <c r="AE8" s="1157"/>
      <c r="AF8" s="1157"/>
      <c r="AG8" s="1157"/>
      <c r="AH8" s="1157"/>
      <c r="AI8" s="1157"/>
      <c r="AJ8" s="1157"/>
      <c r="AK8" s="1157"/>
      <c r="AL8" s="513"/>
      <c r="AM8" s="15"/>
      <c r="AN8" s="189"/>
      <c r="AP8" s="489"/>
      <c r="AQ8" s="450"/>
      <c r="AR8" s="133"/>
      <c r="AS8" s="36"/>
      <c r="AT8" s="36"/>
    </row>
    <row r="9" spans="1:46" x14ac:dyDescent="0.2">
      <c r="A9" s="140">
        <f t="shared" si="0"/>
        <v>6</v>
      </c>
      <c r="B9" s="167"/>
      <c r="C9" s="447"/>
      <c r="D9" s="596"/>
      <c r="E9" s="1157"/>
      <c r="F9" s="1157"/>
      <c r="G9" s="1157"/>
      <c r="H9" s="1157"/>
      <c r="I9" s="1157"/>
      <c r="J9" s="1157"/>
      <c r="K9" s="1157"/>
      <c r="L9" s="1157"/>
      <c r="M9" s="1157"/>
      <c r="N9" s="1157"/>
      <c r="O9" s="1157"/>
      <c r="P9" s="1157"/>
      <c r="Q9" s="1157"/>
      <c r="R9" s="1157"/>
      <c r="S9" s="1157"/>
      <c r="T9" s="29"/>
      <c r="U9" s="12"/>
      <c r="V9" s="467" t="s">
        <v>685</v>
      </c>
      <c r="W9" s="34"/>
      <c r="X9" s="5"/>
      <c r="Y9" s="5"/>
      <c r="Z9" s="5"/>
      <c r="AA9" s="5"/>
      <c r="AB9" s="5"/>
      <c r="AC9" s="5"/>
      <c r="AD9" s="5"/>
      <c r="AE9" s="6"/>
      <c r="AF9" s="36"/>
      <c r="AG9" s="459"/>
      <c r="AH9" s="1078"/>
      <c r="AI9" s="1078"/>
      <c r="AJ9" s="1078"/>
      <c r="AK9" s="1078"/>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87"/>
      <c r="S10" s="108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6"/>
      <c r="S11" s="1156"/>
      <c r="T11" s="29"/>
      <c r="U11" s="1083" t="s">
        <v>730</v>
      </c>
      <c r="V11" s="1124"/>
      <c r="W11" s="1124"/>
      <c r="X11" s="1124"/>
      <c r="Y11" s="1124"/>
      <c r="Z11" s="1124"/>
      <c r="AA11" s="1124"/>
      <c r="AB11" s="1124"/>
      <c r="AC11" s="1124"/>
      <c r="AD11" s="1124"/>
      <c r="AE11" s="1124"/>
      <c r="AF11" s="1124"/>
      <c r="AG11" s="1124"/>
      <c r="AH11" s="1124"/>
      <c r="AI11" s="1124"/>
      <c r="AJ11" s="1124"/>
      <c r="AK11" s="1124"/>
      <c r="AL11" s="1124"/>
      <c r="AM11" s="1125"/>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111"/>
      <c r="AK12" s="1111"/>
      <c r="AL12" s="513"/>
      <c r="AM12" s="15"/>
      <c r="AN12" s="189"/>
    </row>
    <row r="13" spans="1:46" x14ac:dyDescent="0.2">
      <c r="A13" s="140">
        <f t="shared" si="0"/>
        <v>10</v>
      </c>
      <c r="B13" s="167"/>
      <c r="C13" s="389"/>
      <c r="D13" s="677"/>
      <c r="E13" s="1157"/>
      <c r="F13" s="1157"/>
      <c r="G13" s="1157"/>
      <c r="H13" s="1157"/>
      <c r="I13" s="1157"/>
      <c r="J13" s="1157"/>
      <c r="K13" s="1157"/>
      <c r="L13" s="1157"/>
      <c r="M13" s="1157"/>
      <c r="N13" s="1157"/>
      <c r="O13" s="1157"/>
      <c r="P13" s="1157"/>
      <c r="Q13" s="1157"/>
      <c r="R13" s="1157"/>
      <c r="S13" s="1157"/>
      <c r="T13" s="121"/>
      <c r="U13" s="497"/>
      <c r="V13" s="595" t="s">
        <v>662</v>
      </c>
      <c r="W13" s="143"/>
      <c r="X13" s="143"/>
      <c r="Y13" s="5"/>
      <c r="Z13" s="5"/>
      <c r="AA13" s="134"/>
      <c r="AB13" s="36"/>
      <c r="AC13" s="36"/>
      <c r="AD13" s="36"/>
      <c r="AE13" s="36"/>
      <c r="AF13" s="36" t="s">
        <v>727</v>
      </c>
      <c r="AG13" s="472"/>
      <c r="AH13" s="498"/>
      <c r="AI13" s="456"/>
      <c r="AJ13" s="1087"/>
      <c r="AK13" s="108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87"/>
      <c r="S14" s="1087"/>
      <c r="T14" s="29"/>
      <c r="U14" s="12"/>
      <c r="V14" s="595" t="s">
        <v>663</v>
      </c>
      <c r="W14" s="143"/>
      <c r="X14" s="143"/>
      <c r="Y14" s="5"/>
      <c r="Z14" s="5"/>
      <c r="AA14" s="5"/>
      <c r="AB14" s="36"/>
      <c r="AC14" s="36"/>
      <c r="AD14" s="36"/>
      <c r="AE14" s="36"/>
      <c r="AF14" s="36" t="s">
        <v>731</v>
      </c>
      <c r="AG14" s="472"/>
      <c r="AH14" s="498"/>
      <c r="AI14" s="456"/>
      <c r="AJ14" s="1087"/>
      <c r="AK14" s="108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6"/>
      <c r="S15" s="1156"/>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083" t="s">
        <v>822</v>
      </c>
      <c r="V16" s="1124"/>
      <c r="W16" s="1124"/>
      <c r="X16" s="1124"/>
      <c r="Y16" s="1124"/>
      <c r="Z16" s="1124"/>
      <c r="AA16" s="1124"/>
      <c r="AB16" s="1124"/>
      <c r="AC16" s="1124"/>
      <c r="AD16" s="1124"/>
      <c r="AE16" s="1124"/>
      <c r="AF16" s="1124"/>
      <c r="AG16" s="1124"/>
      <c r="AH16" s="1124"/>
      <c r="AI16" s="1124"/>
      <c r="AJ16" s="1124"/>
      <c r="AK16" s="1124"/>
      <c r="AL16" s="1124"/>
      <c r="AM16" s="1125"/>
      <c r="AN16" s="189"/>
    </row>
    <row r="17" spans="1:40" x14ac:dyDescent="0.2">
      <c r="A17" s="140">
        <f t="shared" si="0"/>
        <v>14</v>
      </c>
      <c r="B17" s="167"/>
      <c r="D17" s="677"/>
      <c r="E17" s="1157"/>
      <c r="F17" s="1157"/>
      <c r="G17" s="1157"/>
      <c r="H17" s="1157"/>
      <c r="I17" s="1157"/>
      <c r="J17" s="1157"/>
      <c r="K17" s="1157"/>
      <c r="L17" s="1157"/>
      <c r="M17" s="1157"/>
      <c r="N17" s="1157"/>
      <c r="O17" s="1157"/>
      <c r="P17" s="1157"/>
      <c r="Q17" s="1157"/>
      <c r="R17" s="1157"/>
      <c r="S17" s="1157"/>
      <c r="T17" s="29"/>
      <c r="U17" s="681"/>
      <c r="V17" s="595" t="s">
        <v>664</v>
      </c>
      <c r="W17" s="143"/>
      <c r="X17" s="143"/>
      <c r="Y17" s="5"/>
      <c r="Z17" s="5"/>
      <c r="AA17" s="5"/>
      <c r="AB17" s="36"/>
      <c r="AC17" s="36"/>
      <c r="AD17" s="36"/>
      <c r="AE17" s="472"/>
      <c r="AF17" s="36"/>
      <c r="AG17" s="146"/>
      <c r="AH17" s="146"/>
      <c r="AI17" s="147"/>
      <c r="AJ17" s="1111"/>
      <c r="AK17" s="1111"/>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6"/>
      <c r="AK18" s="1156"/>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87"/>
      <c r="S19" s="1087"/>
      <c r="T19" s="432"/>
      <c r="U19" s="683"/>
      <c r="V19" s="595" t="s">
        <v>665</v>
      </c>
      <c r="W19" s="143"/>
      <c r="X19" s="143"/>
      <c r="Y19" s="5"/>
      <c r="Z19" s="5"/>
      <c r="AA19" s="5"/>
      <c r="AB19" s="36"/>
      <c r="AC19" s="36"/>
      <c r="AD19" s="36"/>
      <c r="AE19" s="472"/>
      <c r="AF19" s="36"/>
      <c r="AG19" s="244"/>
      <c r="AH19" s="498"/>
      <c r="AI19" s="456"/>
      <c r="AJ19" s="1160"/>
      <c r="AK19" s="1160"/>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6"/>
      <c r="S20" s="1156"/>
      <c r="T20" s="432"/>
      <c r="U20" s="683"/>
      <c r="V20" s="435"/>
      <c r="W20" s="143"/>
      <c r="X20" s="143"/>
      <c r="Y20" s="5"/>
      <c r="Z20" s="5"/>
      <c r="AA20" s="5"/>
      <c r="AB20" s="36"/>
      <c r="AC20" s="595" t="s">
        <v>666</v>
      </c>
      <c r="AD20" s="36"/>
      <c r="AE20" s="472"/>
      <c r="AF20" s="36"/>
      <c r="AG20" s="244"/>
      <c r="AH20" s="498"/>
      <c r="AI20" s="456"/>
      <c r="AJ20" s="1156"/>
      <c r="AK20" s="1156"/>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6"/>
      <c r="S21" s="1156"/>
      <c r="T21" s="432"/>
      <c r="U21" s="675"/>
      <c r="V21" s="595" t="s">
        <v>667</v>
      </c>
      <c r="W21" s="143"/>
      <c r="X21" s="143"/>
      <c r="Y21" s="5"/>
      <c r="Z21" s="5"/>
      <c r="AA21" s="5"/>
      <c r="AB21" s="36"/>
      <c r="AC21" s="36"/>
      <c r="AD21" s="36"/>
      <c r="AE21" s="36"/>
      <c r="AF21" s="36"/>
      <c r="AG21" s="1049"/>
      <c r="AH21" s="1049"/>
      <c r="AI21" s="1049"/>
      <c r="AJ21" s="1049"/>
      <c r="AK21" s="1049"/>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111"/>
      <c r="S22" s="1111"/>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6"/>
      <c r="AK23" s="1156"/>
      <c r="AL23" s="698" t="str">
        <f ca="1">Units!B19</f>
        <v>gpm</v>
      </c>
      <c r="AM23" s="15"/>
      <c r="AN23" s="189"/>
    </row>
    <row r="24" spans="1:40" x14ac:dyDescent="0.2">
      <c r="A24" s="140">
        <f t="shared" si="1"/>
        <v>20</v>
      </c>
      <c r="B24" s="167"/>
      <c r="C24" s="133"/>
      <c r="D24" s="678"/>
      <c r="E24" s="1158"/>
      <c r="F24" s="1158"/>
      <c r="G24" s="1158"/>
      <c r="H24" s="1158"/>
      <c r="I24" s="1158"/>
      <c r="J24" s="1158"/>
      <c r="K24" s="1158"/>
      <c r="L24" s="1158"/>
      <c r="M24" s="1158"/>
      <c r="N24" s="1158"/>
      <c r="O24" s="1158"/>
      <c r="P24" s="1158"/>
      <c r="Q24" s="1158"/>
      <c r="R24" s="1158"/>
      <c r="S24" s="1158"/>
      <c r="T24" s="432"/>
      <c r="U24" s="114"/>
      <c r="W24" s="226"/>
      <c r="X24" s="143"/>
      <c r="Y24" s="5"/>
      <c r="Z24" s="5"/>
      <c r="AA24" s="5"/>
      <c r="AB24" s="36"/>
      <c r="AC24" s="36"/>
      <c r="AD24" s="36"/>
      <c r="AE24" s="472"/>
      <c r="AF24" s="36"/>
      <c r="AG24" s="244"/>
      <c r="AH24" s="498"/>
      <c r="AI24" s="637" t="s">
        <v>670</v>
      </c>
      <c r="AJ24" s="1156"/>
      <c r="AK24" s="1156"/>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6"/>
      <c r="AK25" s="1156"/>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87"/>
      <c r="S26" s="1087"/>
      <c r="T26" s="432"/>
      <c r="U26" s="114"/>
      <c r="V26" s="435" t="s">
        <v>672</v>
      </c>
      <c r="W26" s="143"/>
      <c r="X26" s="143"/>
      <c r="Y26" s="5"/>
      <c r="Z26" s="5"/>
      <c r="AA26" s="5"/>
      <c r="AB26" s="5"/>
      <c r="AC26" s="5"/>
      <c r="AD26" s="22"/>
      <c r="AE26" s="22"/>
      <c r="AF26" s="22"/>
      <c r="AG26" s="22"/>
      <c r="AH26" s="133"/>
      <c r="AI26" s="456"/>
      <c r="AJ26" s="1049"/>
      <c r="AK26" s="1049"/>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111"/>
      <c r="S27" s="1111"/>
      <c r="T27" s="432"/>
      <c r="U27" s="114"/>
      <c r="W27" s="471" t="s">
        <v>209</v>
      </c>
      <c r="X27" s="471"/>
      <c r="Y27" s="457"/>
      <c r="Z27" s="457"/>
      <c r="AA27" s="457"/>
      <c r="AB27" s="457"/>
      <c r="AC27" s="1156"/>
      <c r="AD27" s="1156"/>
      <c r="AE27" s="1156"/>
      <c r="AF27" s="1156"/>
      <c r="AG27" s="1156"/>
      <c r="AH27" s="1156"/>
      <c r="AI27" s="1156"/>
      <c r="AJ27" s="1156"/>
      <c r="AK27" s="1156"/>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6"/>
      <c r="S28" s="1156"/>
      <c r="T28" s="432"/>
      <c r="U28" s="114"/>
      <c r="V28" s="435" t="s">
        <v>673</v>
      </c>
      <c r="W28" s="471"/>
      <c r="X28" s="471"/>
      <c r="Y28" s="457"/>
      <c r="Z28" s="457"/>
      <c r="AA28" s="457"/>
      <c r="AB28" s="457"/>
      <c r="AC28" s="5"/>
      <c r="AD28" s="20"/>
      <c r="AE28" s="472"/>
      <c r="AF28" s="22"/>
      <c r="AG28" s="20"/>
      <c r="AH28" s="5"/>
      <c r="AI28" s="479"/>
      <c r="AJ28" s="1049"/>
      <c r="AK28" s="1049"/>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111"/>
      <c r="S29" s="1111"/>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6"/>
      <c r="S30" s="1156"/>
      <c r="T30" s="432"/>
      <c r="U30" s="1083" t="s">
        <v>674</v>
      </c>
      <c r="V30" s="1124"/>
      <c r="W30" s="1124"/>
      <c r="X30" s="1124"/>
      <c r="Y30" s="1124"/>
      <c r="Z30" s="1124"/>
      <c r="AA30" s="1124"/>
      <c r="AB30" s="1124"/>
      <c r="AC30" s="1124"/>
      <c r="AD30" s="1124"/>
      <c r="AE30" s="1124"/>
      <c r="AF30" s="1124"/>
      <c r="AG30" s="1124"/>
      <c r="AH30" s="1124"/>
      <c r="AI30" s="1124"/>
      <c r="AJ30" s="1124"/>
      <c r="AK30" s="1124"/>
      <c r="AL30" s="1124"/>
      <c r="AM30" s="1125"/>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6"/>
      <c r="S31" s="1156"/>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87"/>
      <c r="S32" s="1087"/>
      <c r="T32" s="432"/>
      <c r="U32" s="447"/>
      <c r="V32" s="473"/>
      <c r="W32" s="464"/>
      <c r="X32" s="452"/>
      <c r="Y32" s="450" t="s">
        <v>56</v>
      </c>
      <c r="Z32" s="452"/>
      <c r="AA32" s="452"/>
      <c r="AB32" s="452"/>
      <c r="AC32" s="452"/>
      <c r="AD32" s="452"/>
      <c r="AE32" s="452"/>
      <c r="AF32" s="452"/>
      <c r="AG32" s="452"/>
      <c r="AH32" s="452"/>
      <c r="AI32" s="452"/>
      <c r="AJ32" s="1087"/>
      <c r="AK32" s="1087"/>
      <c r="AL32" s="456"/>
      <c r="AM32" s="103"/>
      <c r="AN32" s="189"/>
    </row>
    <row r="33" spans="1:40" ht="13.35" customHeight="1" x14ac:dyDescent="0.2">
      <c r="A33" s="140">
        <f t="shared" si="1"/>
        <v>29</v>
      </c>
      <c r="B33" s="167"/>
      <c r="C33" s="133"/>
      <c r="D33" s="595" t="s">
        <v>641</v>
      </c>
      <c r="E33" s="133"/>
      <c r="F33" s="133"/>
      <c r="G33" s="455"/>
      <c r="H33" s="455"/>
      <c r="I33" s="455"/>
      <c r="J33" s="455"/>
      <c r="K33" s="1153"/>
      <c r="L33" s="1153"/>
      <c r="M33" s="1153"/>
      <c r="N33" s="1153"/>
      <c r="O33" s="1153"/>
      <c r="P33" s="1153"/>
      <c r="Q33" s="1153"/>
      <c r="R33" s="1153"/>
      <c r="S33" s="1153"/>
      <c r="T33" s="432"/>
      <c r="U33" s="447"/>
      <c r="V33" s="483"/>
      <c r="W33" s="464"/>
      <c r="X33" s="452"/>
      <c r="Y33" s="450" t="s">
        <v>55</v>
      </c>
      <c r="Z33" s="452"/>
      <c r="AA33" s="452"/>
      <c r="AB33" s="452"/>
      <c r="AC33" s="452"/>
      <c r="AD33" s="452"/>
      <c r="AE33" s="452"/>
      <c r="AF33" s="452"/>
      <c r="AG33" s="452"/>
      <c r="AH33" s="452"/>
      <c r="AI33" s="452"/>
      <c r="AJ33" s="1111"/>
      <c r="AK33" s="1111"/>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111"/>
      <c r="AK34" s="1111"/>
      <c r="AL34" s="452"/>
      <c r="AM34" s="15"/>
      <c r="AN34" s="189"/>
    </row>
    <row r="35" spans="1:40" x14ac:dyDescent="0.2">
      <c r="A35" s="140">
        <f t="shared" si="1"/>
        <v>31</v>
      </c>
      <c r="B35" s="167"/>
      <c r="C35" s="455"/>
      <c r="D35" s="1154"/>
      <c r="E35" s="1151"/>
      <c r="F35" s="1151"/>
      <c r="G35" s="1151"/>
      <c r="H35" s="1151"/>
      <c r="I35" s="1151"/>
      <c r="J35" s="1151"/>
      <c r="K35" s="1151"/>
      <c r="L35" s="1151"/>
      <c r="M35" s="1151"/>
      <c r="N35" s="1151"/>
      <c r="O35" s="1151"/>
      <c r="P35" s="1151"/>
      <c r="Q35" s="1151"/>
      <c r="R35" s="1151"/>
      <c r="S35" s="1151"/>
      <c r="T35" s="432"/>
      <c r="U35" s="447"/>
      <c r="V35" s="484"/>
      <c r="W35" s="476" t="s">
        <v>769</v>
      </c>
      <c r="X35" s="474"/>
      <c r="Y35" s="451"/>
      <c r="Z35" s="451"/>
      <c r="AA35" s="451"/>
      <c r="AB35" s="451"/>
      <c r="AC35" s="451"/>
      <c r="AD35" s="451"/>
      <c r="AE35" s="451"/>
      <c r="AF35" s="451"/>
      <c r="AG35" s="451"/>
      <c r="AH35" s="451"/>
      <c r="AI35" s="451"/>
      <c r="AJ35" s="1087"/>
      <c r="AK35" s="108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87"/>
      <c r="AK36" s="108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2"/>
      <c r="AK40" s="1152"/>
      <c r="AL40" s="1152"/>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2"/>
      <c r="AK41" s="1152"/>
      <c r="AL41" s="1152"/>
      <c r="AM41" s="103"/>
      <c r="AN41" s="189"/>
    </row>
    <row r="42" spans="1:40" x14ac:dyDescent="0.2">
      <c r="A42" s="140">
        <f t="shared" si="2"/>
        <v>38</v>
      </c>
      <c r="B42" s="167"/>
      <c r="D42" s="1151"/>
      <c r="E42" s="1151"/>
      <c r="F42" s="1151"/>
      <c r="G42" s="1151"/>
      <c r="H42" s="1151"/>
      <c r="I42" s="1151"/>
      <c r="J42" s="1151"/>
      <c r="K42" s="1151"/>
      <c r="L42" s="1151"/>
      <c r="M42" s="1151"/>
      <c r="N42" s="1151"/>
      <c r="O42" s="1151"/>
      <c r="P42" s="1151"/>
      <c r="Q42" s="1151"/>
      <c r="R42" s="1151"/>
      <c r="S42" s="1151"/>
      <c r="T42" s="133"/>
      <c r="U42" s="502"/>
      <c r="V42" s="484"/>
      <c r="W42" s="240"/>
      <c r="X42" s="240"/>
      <c r="Y42" s="126"/>
      <c r="Z42" s="126"/>
      <c r="AA42" s="126"/>
      <c r="AB42" s="126"/>
      <c r="AC42" s="126"/>
      <c r="AD42" s="126"/>
      <c r="AE42" s="126"/>
      <c r="AF42" s="126"/>
      <c r="AG42" s="126"/>
      <c r="AH42" s="455"/>
      <c r="AI42" s="455"/>
      <c r="AJ42" s="1152"/>
      <c r="AK42" s="1152"/>
      <c r="AL42" s="1152"/>
      <c r="AM42" s="103"/>
      <c r="AN42" s="189"/>
    </row>
    <row r="43" spans="1:40" x14ac:dyDescent="0.2">
      <c r="A43" s="140">
        <f t="shared" si="2"/>
        <v>39</v>
      </c>
      <c r="B43" s="167"/>
      <c r="D43" s="1151"/>
      <c r="E43" s="1151"/>
      <c r="F43" s="1151"/>
      <c r="G43" s="1151"/>
      <c r="H43" s="1151"/>
      <c r="I43" s="1151"/>
      <c r="J43" s="1151"/>
      <c r="K43" s="1151"/>
      <c r="L43" s="1151"/>
      <c r="M43" s="1151"/>
      <c r="N43" s="1151"/>
      <c r="O43" s="1151"/>
      <c r="P43" s="1151"/>
      <c r="Q43" s="1151"/>
      <c r="R43" s="1151"/>
      <c r="S43" s="1151"/>
      <c r="T43" s="133"/>
      <c r="U43" s="502"/>
      <c r="V43" s="484"/>
      <c r="W43" s="476"/>
      <c r="X43" s="476"/>
      <c r="Y43" s="435"/>
      <c r="Z43" s="435"/>
      <c r="AA43" s="435"/>
      <c r="AB43" s="435"/>
      <c r="AC43" s="435"/>
      <c r="AD43" s="435"/>
      <c r="AE43" s="435"/>
      <c r="AF43" s="435"/>
      <c r="AG43" s="435"/>
      <c r="AH43" s="435"/>
      <c r="AI43" s="435"/>
      <c r="AJ43" s="1152"/>
      <c r="AK43" s="1152"/>
      <c r="AL43" s="1152"/>
      <c r="AM43" s="103"/>
      <c r="AN43" s="189"/>
    </row>
    <row r="44" spans="1:40" x14ac:dyDescent="0.2">
      <c r="A44" s="140">
        <f t="shared" si="2"/>
        <v>40</v>
      </c>
      <c r="B44" s="167"/>
      <c r="D44" s="1151"/>
      <c r="E44" s="1151"/>
      <c r="F44" s="1151"/>
      <c r="G44" s="1151"/>
      <c r="H44" s="1151"/>
      <c r="I44" s="1151"/>
      <c r="J44" s="1151"/>
      <c r="K44" s="1151"/>
      <c r="L44" s="1151"/>
      <c r="M44" s="1151"/>
      <c r="N44" s="1151"/>
      <c r="O44" s="1151"/>
      <c r="P44" s="1151"/>
      <c r="Q44" s="1151"/>
      <c r="R44" s="1151"/>
      <c r="S44" s="1151"/>
      <c r="T44" s="133"/>
      <c r="U44" s="448"/>
      <c r="V44" s="484"/>
      <c r="W44" s="436"/>
      <c r="X44" s="436"/>
      <c r="Y44" s="436"/>
      <c r="Z44" s="436"/>
      <c r="AA44" s="436"/>
      <c r="AB44" s="436"/>
      <c r="AC44" s="436"/>
      <c r="AD44" s="436"/>
      <c r="AE44" s="436"/>
      <c r="AF44" s="436"/>
      <c r="AG44" s="436"/>
      <c r="AH44" s="436"/>
      <c r="AI44" s="436"/>
      <c r="AJ44" s="1152"/>
      <c r="AK44" s="1152"/>
      <c r="AL44" s="1152"/>
      <c r="AM44" s="432"/>
      <c r="AN44" s="189"/>
    </row>
    <row r="45" spans="1:40" x14ac:dyDescent="0.2">
      <c r="A45" s="140">
        <f t="shared" si="2"/>
        <v>41</v>
      </c>
      <c r="B45" s="167"/>
      <c r="D45" s="1151"/>
      <c r="E45" s="1151"/>
      <c r="F45" s="1151"/>
      <c r="G45" s="1151"/>
      <c r="H45" s="1151"/>
      <c r="I45" s="1151"/>
      <c r="J45" s="1151"/>
      <c r="K45" s="1151"/>
      <c r="L45" s="1151"/>
      <c r="M45" s="1151"/>
      <c r="N45" s="1151"/>
      <c r="O45" s="1151"/>
      <c r="P45" s="1151"/>
      <c r="Q45" s="1151"/>
      <c r="R45" s="1151"/>
      <c r="S45" s="1151"/>
      <c r="T45" s="133"/>
      <c r="U45" s="449"/>
      <c r="V45" s="484"/>
      <c r="W45" s="436"/>
      <c r="X45" s="436"/>
      <c r="Y45" s="436"/>
      <c r="Z45" s="436"/>
      <c r="AA45" s="436"/>
      <c r="AB45" s="436"/>
      <c r="AC45" s="436"/>
      <c r="AD45" s="436"/>
      <c r="AE45" s="436"/>
      <c r="AF45" s="436"/>
      <c r="AG45" s="436"/>
      <c r="AH45" s="436"/>
      <c r="AI45" s="436"/>
      <c r="AJ45" s="1152"/>
      <c r="AK45" s="1152"/>
      <c r="AL45" s="1152"/>
      <c r="AM45" s="432"/>
      <c r="AN45" s="189"/>
    </row>
    <row r="46" spans="1:40" x14ac:dyDescent="0.2">
      <c r="A46" s="140">
        <f t="shared" si="2"/>
        <v>42</v>
      </c>
      <c r="B46" s="167"/>
      <c r="D46" s="1151"/>
      <c r="E46" s="1151"/>
      <c r="F46" s="1151"/>
      <c r="G46" s="1151"/>
      <c r="H46" s="1151"/>
      <c r="I46" s="1151"/>
      <c r="J46" s="1151"/>
      <c r="K46" s="1151"/>
      <c r="L46" s="1151"/>
      <c r="M46" s="1151"/>
      <c r="N46" s="1151"/>
      <c r="O46" s="1151"/>
      <c r="P46" s="1151"/>
      <c r="Q46" s="1151"/>
      <c r="R46" s="1151"/>
      <c r="S46" s="1151"/>
      <c r="T46" s="6"/>
      <c r="U46" s="449"/>
      <c r="V46" s="485"/>
      <c r="W46" s="436"/>
      <c r="X46" s="436"/>
      <c r="Y46" s="436"/>
      <c r="Z46" s="436"/>
      <c r="AA46" s="436"/>
      <c r="AB46" s="436"/>
      <c r="AC46" s="436"/>
      <c r="AD46" s="436"/>
      <c r="AE46" s="436"/>
      <c r="AF46" s="436"/>
      <c r="AG46" s="436"/>
      <c r="AH46" s="436"/>
      <c r="AI46" s="436"/>
      <c r="AJ46" s="1152"/>
      <c r="AK46" s="1152"/>
      <c r="AL46" s="1152"/>
      <c r="AM46" s="432"/>
      <c r="AN46" s="189"/>
    </row>
    <row r="47" spans="1:40" x14ac:dyDescent="0.2">
      <c r="A47" s="140">
        <f t="shared" si="2"/>
        <v>43</v>
      </c>
      <c r="B47" s="167"/>
      <c r="D47" s="1151"/>
      <c r="E47" s="1151"/>
      <c r="F47" s="1151"/>
      <c r="G47" s="1151"/>
      <c r="H47" s="1151"/>
      <c r="I47" s="1151"/>
      <c r="J47" s="1151"/>
      <c r="K47" s="1151"/>
      <c r="L47" s="1151"/>
      <c r="M47" s="1151"/>
      <c r="N47" s="1151"/>
      <c r="O47" s="1151"/>
      <c r="P47" s="1151"/>
      <c r="Q47" s="1151"/>
      <c r="R47" s="1151"/>
      <c r="S47" s="1151"/>
      <c r="T47" s="30"/>
      <c r="U47" s="449"/>
      <c r="V47" s="485"/>
      <c r="W47" s="436"/>
      <c r="X47" s="436"/>
      <c r="Y47" s="436"/>
      <c r="Z47" s="436"/>
      <c r="AA47" s="436"/>
      <c r="AB47" s="436"/>
      <c r="AC47" s="436"/>
      <c r="AD47" s="436"/>
      <c r="AE47" s="436"/>
      <c r="AF47" s="436"/>
      <c r="AG47" s="436"/>
      <c r="AH47" s="436"/>
      <c r="AI47" s="436"/>
      <c r="AJ47" s="1152"/>
      <c r="AK47" s="1152"/>
      <c r="AL47" s="1152"/>
      <c r="AM47" s="432"/>
      <c r="AN47" s="189"/>
    </row>
    <row r="48" spans="1:40" s="23" customFormat="1" ht="13.35" customHeight="1" x14ac:dyDescent="0.2">
      <c r="A48" s="140">
        <f t="shared" si="2"/>
        <v>44</v>
      </c>
      <c r="B48" s="167"/>
      <c r="D48" s="1151"/>
      <c r="E48" s="1151"/>
      <c r="F48" s="1151"/>
      <c r="G48" s="1151"/>
      <c r="H48" s="1151"/>
      <c r="I48" s="1151"/>
      <c r="J48" s="1151"/>
      <c r="K48" s="1151"/>
      <c r="L48" s="1151"/>
      <c r="M48" s="1151"/>
      <c r="N48" s="1151"/>
      <c r="O48" s="1151"/>
      <c r="P48" s="1151"/>
      <c r="Q48" s="1151"/>
      <c r="R48" s="1151"/>
      <c r="S48" s="1151"/>
      <c r="T48" s="6"/>
      <c r="U48" s="449"/>
      <c r="V48" s="485"/>
      <c r="W48" s="436"/>
      <c r="X48" s="436"/>
      <c r="Y48" s="436"/>
      <c r="Z48" s="436"/>
      <c r="AA48" s="436"/>
      <c r="AB48" s="436"/>
      <c r="AC48" s="436"/>
      <c r="AD48" s="436"/>
      <c r="AE48" s="436"/>
      <c r="AF48" s="436"/>
      <c r="AG48" s="436"/>
      <c r="AH48" s="436"/>
      <c r="AI48" s="436"/>
      <c r="AJ48" s="1152"/>
      <c r="AK48" s="1152"/>
      <c r="AL48" s="1152"/>
      <c r="AM48" s="433"/>
      <c r="AN48" s="206"/>
    </row>
    <row r="49" spans="1:53" x14ac:dyDescent="0.2">
      <c r="A49" s="140">
        <f t="shared" si="2"/>
        <v>45</v>
      </c>
      <c r="B49" s="167"/>
      <c r="D49" s="1151"/>
      <c r="E49" s="1151"/>
      <c r="F49" s="1151"/>
      <c r="G49" s="1151"/>
      <c r="H49" s="1151"/>
      <c r="I49" s="1151"/>
      <c r="J49" s="1151"/>
      <c r="K49" s="1151"/>
      <c r="L49" s="1151"/>
      <c r="M49" s="1151"/>
      <c r="N49" s="1151"/>
      <c r="O49" s="1151"/>
      <c r="P49" s="1151"/>
      <c r="Q49" s="1151"/>
      <c r="R49" s="1151"/>
      <c r="S49" s="1151"/>
      <c r="T49" s="6"/>
      <c r="U49" s="449"/>
      <c r="V49" s="484"/>
      <c r="W49" s="436"/>
      <c r="X49" s="436"/>
      <c r="Y49" s="436"/>
      <c r="Z49" s="436"/>
      <c r="AA49" s="436"/>
      <c r="AB49" s="436"/>
      <c r="AC49" s="436"/>
      <c r="AD49" s="436"/>
      <c r="AE49" s="436"/>
      <c r="AF49" s="436"/>
      <c r="AG49" s="436"/>
      <c r="AH49" s="436"/>
      <c r="AI49" s="436"/>
      <c r="AJ49" s="1152"/>
      <c r="AK49" s="1152"/>
      <c r="AL49" s="1152"/>
      <c r="AM49" s="432"/>
      <c r="AN49" s="189"/>
    </row>
    <row r="50" spans="1:53" x14ac:dyDescent="0.2">
      <c r="A50" s="140">
        <f t="shared" si="2"/>
        <v>46</v>
      </c>
      <c r="B50" s="167"/>
      <c r="D50" s="1151"/>
      <c r="E50" s="1151"/>
      <c r="F50" s="1151"/>
      <c r="G50" s="1151"/>
      <c r="H50" s="1151"/>
      <c r="I50" s="1151"/>
      <c r="J50" s="1151"/>
      <c r="K50" s="1151"/>
      <c r="L50" s="1151"/>
      <c r="M50" s="1151"/>
      <c r="N50" s="1151"/>
      <c r="O50" s="1151"/>
      <c r="P50" s="1151"/>
      <c r="Q50" s="1151"/>
      <c r="R50" s="1151"/>
      <c r="S50" s="1151"/>
      <c r="T50" s="6"/>
      <c r="U50" s="449"/>
      <c r="V50" s="484"/>
      <c r="W50" s="436"/>
      <c r="X50" s="436"/>
      <c r="Y50" s="436"/>
      <c r="Z50" s="436"/>
      <c r="AA50" s="436"/>
      <c r="AB50" s="436"/>
      <c r="AC50" s="436"/>
      <c r="AD50" s="436"/>
      <c r="AE50" s="436"/>
      <c r="AF50" s="436"/>
      <c r="AG50" s="436"/>
      <c r="AH50" s="436"/>
      <c r="AI50" s="436"/>
      <c r="AJ50" s="1152"/>
      <c r="AK50" s="1152"/>
      <c r="AL50" s="1152"/>
      <c r="AM50" s="432"/>
      <c r="AN50" s="189"/>
    </row>
    <row r="51" spans="1:53" x14ac:dyDescent="0.2">
      <c r="A51" s="140">
        <f t="shared" si="2"/>
        <v>47</v>
      </c>
      <c r="B51" s="167"/>
      <c r="D51" s="1151"/>
      <c r="E51" s="1151"/>
      <c r="F51" s="1151"/>
      <c r="G51" s="1151"/>
      <c r="H51" s="1151"/>
      <c r="I51" s="1151"/>
      <c r="J51" s="1151"/>
      <c r="K51" s="1151"/>
      <c r="L51" s="1151"/>
      <c r="M51" s="1151"/>
      <c r="N51" s="1151"/>
      <c r="O51" s="1151"/>
      <c r="P51" s="1151"/>
      <c r="Q51" s="1151"/>
      <c r="R51" s="1151"/>
      <c r="S51" s="1151"/>
      <c r="T51" s="6"/>
      <c r="U51" s="449"/>
      <c r="V51" s="484"/>
      <c r="W51" s="436"/>
      <c r="X51" s="436"/>
      <c r="Y51" s="436"/>
      <c r="Z51" s="436"/>
      <c r="AA51" s="436"/>
      <c r="AB51" s="436"/>
      <c r="AC51" s="436"/>
      <c r="AD51" s="436"/>
      <c r="AE51" s="436"/>
      <c r="AF51" s="436"/>
      <c r="AG51" s="436"/>
      <c r="AH51" s="436"/>
      <c r="AI51" s="436"/>
      <c r="AJ51" s="1152"/>
      <c r="AK51" s="1152"/>
      <c r="AL51" s="1152"/>
      <c r="AM51" s="432"/>
      <c r="AN51" s="189"/>
    </row>
    <row r="52" spans="1:53" x14ac:dyDescent="0.2">
      <c r="A52" s="140">
        <f t="shared" si="2"/>
        <v>48</v>
      </c>
      <c r="B52" s="167"/>
      <c r="D52" s="1151"/>
      <c r="E52" s="1151"/>
      <c r="F52" s="1151"/>
      <c r="G52" s="1151"/>
      <c r="H52" s="1151"/>
      <c r="I52" s="1151"/>
      <c r="J52" s="1151"/>
      <c r="K52" s="1151"/>
      <c r="L52" s="1151"/>
      <c r="M52" s="1151"/>
      <c r="N52" s="1151"/>
      <c r="O52" s="1151"/>
      <c r="P52" s="1151"/>
      <c r="Q52" s="1151"/>
      <c r="R52" s="1151"/>
      <c r="S52" s="1151"/>
      <c r="T52" s="6"/>
      <c r="U52" s="449"/>
      <c r="V52" s="484"/>
      <c r="W52" s="436"/>
      <c r="X52" s="436"/>
      <c r="Y52" s="436"/>
      <c r="Z52" s="436"/>
      <c r="AA52" s="436"/>
      <c r="AB52" s="436"/>
      <c r="AC52" s="436"/>
      <c r="AD52" s="436"/>
      <c r="AE52" s="436"/>
      <c r="AF52" s="436"/>
      <c r="AG52" s="436"/>
      <c r="AH52" s="436"/>
      <c r="AI52" s="436"/>
      <c r="AJ52" s="1152"/>
      <c r="AK52" s="1152"/>
      <c r="AL52" s="1152"/>
      <c r="AM52" s="432"/>
      <c r="AN52" s="189"/>
    </row>
    <row r="53" spans="1:53" x14ac:dyDescent="0.2">
      <c r="A53" s="140">
        <f t="shared" si="2"/>
        <v>49</v>
      </c>
      <c r="B53" s="167"/>
      <c r="D53" s="1151"/>
      <c r="E53" s="1151"/>
      <c r="F53" s="1151"/>
      <c r="G53" s="1151"/>
      <c r="H53" s="1151"/>
      <c r="I53" s="1151"/>
      <c r="J53" s="1151"/>
      <c r="K53" s="1151"/>
      <c r="L53" s="1151"/>
      <c r="M53" s="1151"/>
      <c r="N53" s="1151"/>
      <c r="O53" s="1151"/>
      <c r="P53" s="1151"/>
      <c r="Q53" s="1151"/>
      <c r="R53" s="1151"/>
      <c r="S53" s="1151"/>
      <c r="T53" s="6"/>
      <c r="U53" s="449"/>
      <c r="V53" s="485"/>
      <c r="W53" s="436"/>
      <c r="X53" s="436"/>
      <c r="Y53" s="436"/>
      <c r="Z53" s="436"/>
      <c r="AA53" s="436"/>
      <c r="AB53" s="436"/>
      <c r="AC53" s="436"/>
      <c r="AD53" s="436"/>
      <c r="AE53" s="436"/>
      <c r="AF53" s="436"/>
      <c r="AG53" s="436"/>
      <c r="AH53" s="436"/>
      <c r="AI53" s="436"/>
      <c r="AJ53" s="1152"/>
      <c r="AK53" s="1152"/>
      <c r="AL53" s="1152"/>
      <c r="AM53" s="432"/>
      <c r="AN53" s="189"/>
    </row>
    <row r="54" spans="1:53" x14ac:dyDescent="0.2">
      <c r="A54" s="140">
        <f t="shared" si="2"/>
        <v>50</v>
      </c>
      <c r="B54" s="167"/>
      <c r="D54" s="1151"/>
      <c r="E54" s="1151"/>
      <c r="F54" s="1151"/>
      <c r="G54" s="1151"/>
      <c r="H54" s="1151"/>
      <c r="I54" s="1151"/>
      <c r="J54" s="1151"/>
      <c r="K54" s="1151"/>
      <c r="L54" s="1151"/>
      <c r="M54" s="1151"/>
      <c r="N54" s="1151"/>
      <c r="O54" s="1151"/>
      <c r="P54" s="1151"/>
      <c r="Q54" s="1151"/>
      <c r="R54" s="1151"/>
      <c r="S54" s="1151"/>
      <c r="T54" s="685"/>
      <c r="U54" s="449"/>
      <c r="V54" s="472"/>
      <c r="W54" s="436"/>
      <c r="X54" s="436"/>
      <c r="Y54" s="436"/>
      <c r="Z54" s="436"/>
      <c r="AA54" s="436"/>
      <c r="AB54" s="436"/>
      <c r="AC54" s="436"/>
      <c r="AD54" s="436"/>
      <c r="AE54" s="436"/>
      <c r="AF54" s="436"/>
      <c r="AG54" s="436"/>
      <c r="AH54" s="436"/>
      <c r="AI54" s="436"/>
      <c r="AJ54" s="1152"/>
      <c r="AK54" s="1152"/>
      <c r="AL54" s="1152"/>
      <c r="AM54" s="432"/>
      <c r="AN54" s="189"/>
    </row>
    <row r="55" spans="1:53" x14ac:dyDescent="0.2">
      <c r="A55" s="140">
        <f t="shared" si="2"/>
        <v>51</v>
      </c>
      <c r="B55" s="167"/>
      <c r="D55" s="1151"/>
      <c r="E55" s="1151"/>
      <c r="F55" s="1151"/>
      <c r="G55" s="1151"/>
      <c r="H55" s="1151"/>
      <c r="I55" s="1151"/>
      <c r="J55" s="1151"/>
      <c r="K55" s="1151"/>
      <c r="L55" s="1151"/>
      <c r="M55" s="1151"/>
      <c r="N55" s="1151"/>
      <c r="O55" s="1151"/>
      <c r="P55" s="1151"/>
      <c r="Q55" s="1151"/>
      <c r="R55" s="1151"/>
      <c r="S55" s="1151"/>
      <c r="T55" s="6"/>
      <c r="U55" s="449"/>
      <c r="V55" s="485"/>
      <c r="W55" s="436"/>
      <c r="X55" s="436"/>
      <c r="Y55" s="436"/>
      <c r="Z55" s="436"/>
      <c r="AA55" s="436"/>
      <c r="AB55" s="436"/>
      <c r="AC55" s="436"/>
      <c r="AD55" s="436"/>
      <c r="AE55" s="436"/>
      <c r="AF55" s="436"/>
      <c r="AG55" s="436"/>
      <c r="AH55" s="436"/>
      <c r="AI55" s="436"/>
      <c r="AJ55" s="1152"/>
      <c r="AK55" s="1152"/>
      <c r="AL55" s="1152"/>
      <c r="AM55" s="432"/>
      <c r="AN55" s="189"/>
    </row>
    <row r="56" spans="1:53" ht="12.75" customHeight="1" x14ac:dyDescent="0.2">
      <c r="A56" s="140">
        <f t="shared" si="2"/>
        <v>52</v>
      </c>
      <c r="B56" s="171"/>
      <c r="D56" s="1151"/>
      <c r="E56" s="1151"/>
      <c r="F56" s="1151"/>
      <c r="G56" s="1151"/>
      <c r="H56" s="1151"/>
      <c r="I56" s="1151"/>
      <c r="J56" s="1151"/>
      <c r="K56" s="1151"/>
      <c r="L56" s="1151"/>
      <c r="M56" s="1151"/>
      <c r="N56" s="1151"/>
      <c r="O56" s="1151"/>
      <c r="P56" s="1151"/>
      <c r="Q56" s="1151"/>
      <c r="R56" s="1151"/>
      <c r="S56" s="1151"/>
      <c r="T56" s="6"/>
      <c r="U56" s="449"/>
      <c r="V56" s="485"/>
      <c r="W56" s="481"/>
      <c r="X56" s="481"/>
      <c r="Y56" s="481"/>
      <c r="Z56" s="481"/>
      <c r="AA56" s="481"/>
      <c r="AB56" s="481"/>
      <c r="AC56" s="481"/>
      <c r="AD56" s="481"/>
      <c r="AE56" s="481"/>
      <c r="AF56" s="481"/>
      <c r="AG56" s="481"/>
      <c r="AH56" s="505"/>
      <c r="AI56" s="505"/>
      <c r="AJ56" s="1152"/>
      <c r="AK56" s="1152"/>
      <c r="AL56" s="1152"/>
      <c r="AM56" s="432"/>
      <c r="AN56" s="207"/>
    </row>
    <row r="57" spans="1:53" s="23" customFormat="1" ht="13.35" customHeight="1" x14ac:dyDescent="0.2">
      <c r="A57" s="140">
        <f t="shared" si="2"/>
        <v>53</v>
      </c>
      <c r="B57" s="167"/>
      <c r="C57" s="492"/>
      <c r="D57" s="1151"/>
      <c r="E57" s="1151"/>
      <c r="F57" s="1151"/>
      <c r="G57" s="1151"/>
      <c r="H57" s="1151"/>
      <c r="I57" s="1151"/>
      <c r="J57" s="1151"/>
      <c r="K57" s="1151"/>
      <c r="L57" s="1151"/>
      <c r="M57" s="1151"/>
      <c r="N57" s="1151"/>
      <c r="O57" s="1151"/>
      <c r="P57" s="1151"/>
      <c r="Q57" s="1151"/>
      <c r="R57" s="1151"/>
      <c r="S57" s="1151"/>
      <c r="T57" s="505"/>
      <c r="U57" s="687"/>
      <c r="V57" s="485"/>
      <c r="W57" s="482"/>
      <c r="X57" s="482"/>
      <c r="Y57" s="482"/>
      <c r="Z57" s="482"/>
      <c r="AA57" s="482"/>
      <c r="AB57" s="482"/>
      <c r="AC57" s="482"/>
      <c r="AD57" s="482"/>
      <c r="AE57" s="482"/>
      <c r="AF57" s="482"/>
      <c r="AG57" s="482"/>
      <c r="AH57" s="493"/>
      <c r="AI57" s="493"/>
      <c r="AJ57" s="1152"/>
      <c r="AK57" s="1152"/>
      <c r="AL57" s="1152"/>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1"/>
      <c r="E58" s="1151"/>
      <c r="F58" s="1151"/>
      <c r="G58" s="1151"/>
      <c r="H58" s="1151"/>
      <c r="I58" s="1151"/>
      <c r="J58" s="1151"/>
      <c r="K58" s="1151"/>
      <c r="L58" s="1151"/>
      <c r="M58" s="1151"/>
      <c r="N58" s="1151"/>
      <c r="O58" s="1151"/>
      <c r="P58" s="1151"/>
      <c r="Q58" s="1151"/>
      <c r="R58" s="1151"/>
      <c r="S58" s="1151"/>
      <c r="T58" s="493"/>
      <c r="U58" s="688"/>
      <c r="V58" s="485"/>
      <c r="W58" s="482"/>
      <c r="X58" s="482"/>
      <c r="Y58" s="482"/>
      <c r="Z58" s="482"/>
      <c r="AA58" s="482"/>
      <c r="AB58" s="482"/>
      <c r="AC58" s="486"/>
      <c r="AE58" s="482"/>
      <c r="AF58" s="482"/>
      <c r="AG58" s="482"/>
      <c r="AH58" s="493"/>
      <c r="AI58" s="493"/>
      <c r="AJ58" s="1152"/>
      <c r="AK58" s="1152"/>
      <c r="AL58" s="1152"/>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1"/>
      <c r="E59" s="1151"/>
      <c r="F59" s="1151"/>
      <c r="G59" s="1151"/>
      <c r="H59" s="1151"/>
      <c r="I59" s="1151"/>
      <c r="J59" s="1151"/>
      <c r="K59" s="1151"/>
      <c r="L59" s="1151"/>
      <c r="M59" s="1151"/>
      <c r="N59" s="1151"/>
      <c r="O59" s="1151"/>
      <c r="P59" s="1151"/>
      <c r="Q59" s="1151"/>
      <c r="R59" s="1151"/>
      <c r="S59" s="1151"/>
      <c r="T59" s="493"/>
      <c r="U59" s="688"/>
      <c r="V59" s="476"/>
      <c r="W59" s="482"/>
      <c r="X59" s="482"/>
      <c r="Y59" s="482"/>
      <c r="Z59" s="482"/>
      <c r="AA59" s="482"/>
      <c r="AB59" s="482"/>
      <c r="AC59" s="486"/>
      <c r="AE59" s="482"/>
      <c r="AF59" s="482"/>
      <c r="AG59" s="482"/>
      <c r="AH59" s="493"/>
      <c r="AI59" s="493"/>
      <c r="AJ59" s="1152"/>
      <c r="AK59" s="1152"/>
      <c r="AL59" s="1152"/>
      <c r="AM59" s="15"/>
      <c r="AN59" s="189"/>
      <c r="AP59" s="458"/>
      <c r="AQ59" s="459"/>
    </row>
    <row r="60" spans="1:53" x14ac:dyDescent="0.2">
      <c r="A60" s="140">
        <f t="shared" si="2"/>
        <v>56</v>
      </c>
      <c r="B60" s="167"/>
      <c r="C60" s="686"/>
      <c r="D60" s="1151"/>
      <c r="E60" s="1151"/>
      <c r="F60" s="1151"/>
      <c r="G60" s="1151"/>
      <c r="H60" s="1151"/>
      <c r="I60" s="1151"/>
      <c r="J60" s="1151"/>
      <c r="K60" s="1151"/>
      <c r="L60" s="1151"/>
      <c r="M60" s="1151"/>
      <c r="N60" s="1151"/>
      <c r="O60" s="1151"/>
      <c r="P60" s="1151"/>
      <c r="Q60" s="1151"/>
      <c r="R60" s="1151"/>
      <c r="S60" s="1151"/>
      <c r="T60" s="493"/>
      <c r="U60" s="688"/>
      <c r="V60" s="485"/>
      <c r="W60" s="482"/>
      <c r="X60" s="482"/>
      <c r="Y60" s="482"/>
      <c r="Z60" s="482"/>
      <c r="AA60" s="482"/>
      <c r="AB60" s="482"/>
      <c r="AC60" s="482"/>
      <c r="AD60" s="482"/>
      <c r="AE60" s="482"/>
      <c r="AF60" s="482"/>
      <c r="AG60" s="482"/>
      <c r="AH60" s="493"/>
      <c r="AI60" s="493"/>
      <c r="AJ60" s="1152"/>
      <c r="AK60" s="1152"/>
      <c r="AL60" s="1152"/>
      <c r="AM60" s="15"/>
      <c r="AN60" s="189"/>
      <c r="AP60" s="458"/>
      <c r="AQ60" s="459"/>
    </row>
    <row r="61" spans="1:53" x14ac:dyDescent="0.2">
      <c r="A61" s="140">
        <f t="shared" si="2"/>
        <v>57</v>
      </c>
      <c r="B61" s="167"/>
      <c r="C61" s="113"/>
      <c r="D61" s="1151"/>
      <c r="E61" s="1151"/>
      <c r="F61" s="1151"/>
      <c r="G61" s="1151"/>
      <c r="H61" s="1151"/>
      <c r="I61" s="1151"/>
      <c r="J61" s="1151"/>
      <c r="K61" s="1151"/>
      <c r="L61" s="1151"/>
      <c r="M61" s="1151"/>
      <c r="N61" s="1151"/>
      <c r="O61" s="1151"/>
      <c r="P61" s="1151"/>
      <c r="Q61" s="1151"/>
      <c r="R61" s="1151"/>
      <c r="S61" s="1151"/>
      <c r="T61" s="493"/>
      <c r="U61" s="688"/>
      <c r="AM61" s="15"/>
      <c r="AN61" s="189"/>
      <c r="AP61" s="458"/>
      <c r="AQ61" s="459"/>
    </row>
    <row r="62" spans="1:53" x14ac:dyDescent="0.2">
      <c r="A62" s="140">
        <f t="shared" si="2"/>
        <v>58</v>
      </c>
      <c r="B62" s="167"/>
      <c r="C62" s="113"/>
      <c r="D62" s="1151"/>
      <c r="E62" s="1151"/>
      <c r="F62" s="1151"/>
      <c r="G62" s="1151"/>
      <c r="H62" s="1151"/>
      <c r="I62" s="1151"/>
      <c r="J62" s="1151"/>
      <c r="K62" s="1151"/>
      <c r="L62" s="1151"/>
      <c r="M62" s="1151"/>
      <c r="N62" s="1151"/>
      <c r="O62" s="1151"/>
      <c r="P62" s="1151"/>
      <c r="Q62" s="1151"/>
      <c r="R62" s="1151"/>
      <c r="S62" s="1151"/>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1"/>
      <c r="E63" s="1151"/>
      <c r="F63" s="1151"/>
      <c r="G63" s="1151"/>
      <c r="H63" s="1151"/>
      <c r="I63" s="1151"/>
      <c r="J63" s="1151"/>
      <c r="K63" s="1151"/>
      <c r="L63" s="1151"/>
      <c r="M63" s="1151"/>
      <c r="N63" s="1151"/>
      <c r="O63" s="1151"/>
      <c r="P63" s="1151"/>
      <c r="Q63" s="1151"/>
      <c r="R63" s="1151"/>
      <c r="S63" s="1151"/>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1"/>
      <c r="E64" s="1151"/>
      <c r="F64" s="1151"/>
      <c r="G64" s="1151"/>
      <c r="H64" s="1151"/>
      <c r="I64" s="1151"/>
      <c r="J64" s="1151"/>
      <c r="K64" s="1151"/>
      <c r="L64" s="1151"/>
      <c r="M64" s="1151"/>
      <c r="N64" s="1151"/>
      <c r="O64" s="1151"/>
      <c r="P64" s="1151"/>
      <c r="Q64" s="1151"/>
      <c r="R64" s="1151"/>
      <c r="S64" s="1151"/>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1"/>
      <c r="E65" s="1151"/>
      <c r="F65" s="1151"/>
      <c r="G65" s="1151"/>
      <c r="H65" s="1151"/>
      <c r="I65" s="1151"/>
      <c r="J65" s="1151"/>
      <c r="K65" s="1151"/>
      <c r="L65" s="1151"/>
      <c r="M65" s="1151"/>
      <c r="N65" s="1151"/>
      <c r="O65" s="1151"/>
      <c r="P65" s="1151"/>
      <c r="Q65" s="1151"/>
      <c r="R65" s="1151"/>
      <c r="S65" s="1151"/>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1"/>
      <c r="E66" s="1151"/>
      <c r="F66" s="1151"/>
      <c r="G66" s="1151"/>
      <c r="H66" s="1151"/>
      <c r="I66" s="1151"/>
      <c r="J66" s="1151"/>
      <c r="K66" s="1151"/>
      <c r="L66" s="1151"/>
      <c r="M66" s="1151"/>
      <c r="N66" s="1151"/>
      <c r="O66" s="1151"/>
      <c r="P66" s="1151"/>
      <c r="Q66" s="1151"/>
      <c r="R66" s="1151"/>
      <c r="S66" s="1151"/>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1"/>
      <c r="E67" s="1151"/>
      <c r="F67" s="1151"/>
      <c r="G67" s="1151"/>
      <c r="H67" s="1151"/>
      <c r="I67" s="1151"/>
      <c r="J67" s="1151"/>
      <c r="K67" s="1151"/>
      <c r="L67" s="1151"/>
      <c r="M67" s="1151"/>
      <c r="N67" s="1151"/>
      <c r="O67" s="1151"/>
      <c r="P67" s="1151"/>
      <c r="Q67" s="1151"/>
      <c r="R67" s="1151"/>
      <c r="S67" s="1151"/>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1"/>
      <c r="E68" s="1151"/>
      <c r="F68" s="1151"/>
      <c r="G68" s="1151"/>
      <c r="H68" s="1151"/>
      <c r="I68" s="1151"/>
      <c r="J68" s="1151"/>
      <c r="K68" s="1151"/>
      <c r="L68" s="1151"/>
      <c r="M68" s="1151"/>
      <c r="N68" s="1151"/>
      <c r="O68" s="1151"/>
      <c r="P68" s="1151"/>
      <c r="Q68" s="1151"/>
      <c r="R68" s="1151"/>
      <c r="S68" s="1151"/>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145"/>
      <c r="J71" s="1145"/>
      <c r="K71" s="1145"/>
      <c r="L71" s="1145"/>
      <c r="M71" s="1145"/>
      <c r="N71" s="1145"/>
      <c r="O71" s="1145"/>
      <c r="P71" s="1145"/>
      <c r="Q71" s="1145"/>
      <c r="R71" s="1145"/>
      <c r="S71" s="1145"/>
      <c r="T71" s="1145"/>
      <c r="W71" s="104" t="s">
        <v>48</v>
      </c>
      <c r="X71" s="104"/>
      <c r="Y71" s="1109"/>
      <c r="Z71" s="1109"/>
      <c r="AE71" s="292" t="s">
        <v>271</v>
      </c>
      <c r="AF71" s="292"/>
      <c r="AG71" s="292"/>
      <c r="AH71" s="1108"/>
      <c r="AI71" s="1108"/>
      <c r="AJ71" s="258" t="s">
        <v>269</v>
      </c>
      <c r="AK71" s="1096" t="str">
        <f>IF(C_PageNo_Total=0,"",C_PageNo_Total)</f>
        <v/>
      </c>
      <c r="AL71" s="1096"/>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083" t="s">
        <v>70</v>
      </c>
      <c r="D4" s="1124"/>
      <c r="E4" s="1124"/>
      <c r="F4" s="1124"/>
      <c r="G4" s="1124"/>
      <c r="H4" s="1124"/>
      <c r="I4" s="1124"/>
      <c r="J4" s="1124"/>
      <c r="K4" s="1124"/>
      <c r="L4" s="1124"/>
      <c r="M4" s="1124"/>
      <c r="N4" s="1124"/>
      <c r="O4" s="1124"/>
      <c r="P4" s="1124"/>
      <c r="Q4" s="1124"/>
      <c r="R4" s="1124"/>
      <c r="S4" s="1124"/>
      <c r="T4" s="1125"/>
      <c r="U4" s="1170" t="s">
        <v>548</v>
      </c>
      <c r="V4" s="1171"/>
      <c r="W4" s="1171"/>
      <c r="X4" s="1171"/>
      <c r="Y4" s="1171"/>
      <c r="Z4" s="1171"/>
      <c r="AA4" s="1171"/>
      <c r="AB4" s="1171"/>
      <c r="AC4" s="1171"/>
      <c r="AD4" s="1171"/>
      <c r="AE4" s="1171"/>
      <c r="AF4" s="1171"/>
      <c r="AG4" s="1171"/>
      <c r="AH4" s="1171"/>
      <c r="AI4" s="1171"/>
      <c r="AJ4" s="1171"/>
      <c r="AK4" s="1171"/>
      <c r="AL4" s="1171"/>
      <c r="AM4" s="1172"/>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73"/>
      <c r="AL5" s="1173"/>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74"/>
      <c r="AL6" s="1174"/>
      <c r="AM6" s="15"/>
      <c r="AN6" s="622"/>
      <c r="AP6" s="450"/>
      <c r="AQ6" s="133"/>
    </row>
    <row r="7" spans="1:43" x14ac:dyDescent="0.2">
      <c r="A7" s="616">
        <f t="shared" si="0"/>
        <v>4</v>
      </c>
      <c r="B7" s="618"/>
      <c r="C7" s="595" t="s">
        <v>647</v>
      </c>
      <c r="D7" s="233"/>
      <c r="E7" s="227"/>
      <c r="F7" s="227"/>
      <c r="G7" s="227"/>
      <c r="H7" s="227"/>
      <c r="I7" s="1039"/>
      <c r="J7" s="1039"/>
      <c r="K7" s="1039"/>
      <c r="L7" s="1039"/>
      <c r="M7" s="1039"/>
      <c r="N7" s="1039"/>
      <c r="O7" s="1039"/>
      <c r="P7" s="1039"/>
      <c r="Q7" s="1039"/>
      <c r="R7" s="1039"/>
      <c r="S7" s="1039"/>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77"/>
      <c r="AL8" s="1177"/>
      <c r="AM8" s="15"/>
      <c r="AN8" s="622"/>
      <c r="AP8" s="450"/>
    </row>
    <row r="9" spans="1:43" x14ac:dyDescent="0.2">
      <c r="A9" s="616">
        <f t="shared" si="0"/>
        <v>6</v>
      </c>
      <c r="B9" s="618"/>
      <c r="C9" s="489" t="s">
        <v>648</v>
      </c>
      <c r="D9" s="226"/>
      <c r="E9" s="624"/>
      <c r="F9" s="227"/>
      <c r="G9" s="227"/>
      <c r="H9" s="227"/>
      <c r="I9" s="227"/>
      <c r="J9" s="227"/>
      <c r="K9" s="227"/>
      <c r="L9" s="625"/>
      <c r="M9" s="1152"/>
      <c r="N9" s="1152"/>
      <c r="O9" s="1152"/>
      <c r="P9" s="1152"/>
      <c r="Q9" s="1152"/>
      <c r="R9" s="1152"/>
      <c r="S9" s="1152"/>
      <c r="T9" s="623"/>
      <c r="U9" s="115"/>
      <c r="V9" s="467" t="s">
        <v>525</v>
      </c>
      <c r="W9" s="468"/>
      <c r="X9" s="468"/>
      <c r="Y9" s="626"/>
      <c r="Z9" s="470"/>
      <c r="AA9" s="470"/>
      <c r="AB9" s="470"/>
      <c r="AC9" s="627"/>
      <c r="AD9" s="627"/>
      <c r="AE9" s="627"/>
      <c r="AF9" s="470"/>
      <c r="AG9" s="472" t="s">
        <v>526</v>
      </c>
      <c r="AH9" s="228"/>
      <c r="AI9" s="628"/>
      <c r="AJ9" s="477"/>
      <c r="AK9" s="1177"/>
      <c r="AL9" s="1177"/>
      <c r="AM9" s="27"/>
      <c r="AN9" s="622"/>
      <c r="AP9" s="450"/>
    </row>
    <row r="10" spans="1:43" x14ac:dyDescent="0.2">
      <c r="A10" s="616">
        <f t="shared" si="0"/>
        <v>7</v>
      </c>
      <c r="B10" s="618"/>
      <c r="C10" s="595" t="s">
        <v>649</v>
      </c>
      <c r="D10" s="233"/>
      <c r="E10" s="629"/>
      <c r="F10" s="226"/>
      <c r="G10" s="226"/>
      <c r="H10" s="226"/>
      <c r="I10" s="226"/>
      <c r="J10" s="226"/>
      <c r="K10" s="226"/>
      <c r="L10" s="1079"/>
      <c r="M10" s="1079"/>
      <c r="N10" s="1079"/>
      <c r="O10" s="1079"/>
      <c r="P10" s="1079"/>
      <c r="Q10" s="1079"/>
      <c r="R10" s="1079"/>
      <c r="S10" s="1079"/>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079"/>
      <c r="M11" s="1079"/>
      <c r="N11" s="1079"/>
      <c r="O11" s="1079"/>
      <c r="P11" s="1079"/>
      <c r="Q11" s="1079"/>
      <c r="R11" s="1079"/>
      <c r="S11" s="1079"/>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079"/>
      <c r="M12" s="1079"/>
      <c r="N12" s="1079"/>
      <c r="O12" s="1079"/>
      <c r="P12" s="1079"/>
      <c r="Q12" s="1079"/>
      <c r="R12" s="1079"/>
      <c r="S12" s="1079"/>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77"/>
      <c r="AL13" s="1177"/>
      <c r="AM13" s="15"/>
      <c r="AN13" s="622"/>
      <c r="AP13" s="450"/>
    </row>
    <row r="14" spans="1:43" x14ac:dyDescent="0.2">
      <c r="A14" s="616"/>
      <c r="B14" s="618"/>
      <c r="C14" s="489" t="s">
        <v>691</v>
      </c>
      <c r="D14" s="233"/>
      <c r="E14" s="624"/>
      <c r="F14" s="227"/>
      <c r="G14" s="227"/>
      <c r="H14" s="227"/>
      <c r="I14" s="227"/>
      <c r="J14" s="227"/>
      <c r="K14" s="625"/>
      <c r="L14" s="625"/>
      <c r="M14" s="1175"/>
      <c r="N14" s="1175"/>
      <c r="O14" s="1175"/>
      <c r="P14" s="1175"/>
      <c r="Q14" s="1175"/>
      <c r="R14" s="1175"/>
      <c r="S14" s="1175"/>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6"/>
      <c r="O15" s="1176"/>
      <c r="P15" s="1176"/>
      <c r="Q15" s="1176"/>
      <c r="R15" s="1176"/>
      <c r="S15" s="1176"/>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6"/>
      <c r="O16" s="1176"/>
      <c r="P16" s="1176"/>
      <c r="Q16" s="1176"/>
      <c r="R16" s="1176"/>
      <c r="S16" s="1176"/>
      <c r="T16" s="420"/>
      <c r="U16" s="636"/>
      <c r="V16" s="143"/>
      <c r="W16" s="143"/>
      <c r="X16" s="143"/>
      <c r="Y16" s="143"/>
      <c r="Z16" s="143" t="s">
        <v>747</v>
      </c>
      <c r="AA16" s="143"/>
      <c r="AB16" s="226"/>
      <c r="AC16" s="226"/>
      <c r="AD16" s="226"/>
      <c r="AE16" s="472" t="s">
        <v>529</v>
      </c>
      <c r="AF16" s="226"/>
      <c r="AG16" s="637"/>
      <c r="AH16" s="637"/>
      <c r="AI16" s="638"/>
      <c r="AJ16" s="639"/>
      <c r="AK16" s="1102"/>
      <c r="AL16" s="1102"/>
      <c r="AM16" s="15"/>
      <c r="AN16" s="622"/>
      <c r="AP16" s="450"/>
    </row>
    <row r="17" spans="1:43" x14ac:dyDescent="0.2">
      <c r="A17" s="616">
        <f t="shared" si="0"/>
        <v>13</v>
      </c>
      <c r="B17" s="618"/>
      <c r="C17" s="595" t="s">
        <v>651</v>
      </c>
      <c r="D17" s="227"/>
      <c r="E17" s="624"/>
      <c r="F17" s="227"/>
      <c r="G17" s="227"/>
      <c r="H17" s="227"/>
      <c r="I17" s="227"/>
      <c r="J17" s="227"/>
      <c r="K17" s="635"/>
      <c r="L17" s="625"/>
      <c r="M17" s="474"/>
      <c r="N17" s="1176"/>
      <c r="O17" s="1176"/>
      <c r="P17" s="1176"/>
      <c r="Q17" s="1176"/>
      <c r="R17" s="1176"/>
      <c r="S17" s="1176"/>
      <c r="T17" s="623"/>
      <c r="U17" s="640"/>
      <c r="V17" s="226"/>
      <c r="W17" s="143"/>
      <c r="X17" s="143"/>
      <c r="Y17" s="143"/>
      <c r="Z17" s="143"/>
      <c r="AA17" s="143"/>
      <c r="AB17" s="226"/>
      <c r="AC17" s="226"/>
      <c r="AD17" s="226"/>
      <c r="AE17" s="472" t="s">
        <v>530</v>
      </c>
      <c r="AF17" s="226"/>
      <c r="AG17" s="634"/>
      <c r="AH17" s="632"/>
      <c r="AI17" s="456"/>
      <c r="AJ17" s="456"/>
      <c r="AK17" s="1102"/>
      <c r="AL17" s="1102"/>
      <c r="AM17" s="15"/>
      <c r="AN17" s="622"/>
      <c r="AP17" s="450"/>
    </row>
    <row r="18" spans="1:43" x14ac:dyDescent="0.2">
      <c r="A18" s="616">
        <f t="shared" si="0"/>
        <v>14</v>
      </c>
      <c r="B18" s="618"/>
      <c r="C18" s="595" t="s">
        <v>829</v>
      </c>
      <c r="D18" s="227"/>
      <c r="E18" s="624"/>
      <c r="F18" s="469"/>
      <c r="G18" s="469"/>
      <c r="H18" s="469"/>
      <c r="I18" s="469"/>
      <c r="J18" s="469"/>
      <c r="K18" s="635"/>
      <c r="L18" s="625"/>
      <c r="M18" s="474"/>
      <c r="N18" s="1176"/>
      <c r="O18" s="1176"/>
      <c r="P18" s="1176"/>
      <c r="Q18" s="1176"/>
      <c r="R18" s="1176"/>
      <c r="S18" s="1176"/>
      <c r="T18" s="623"/>
      <c r="U18" s="641"/>
      <c r="V18" s="143"/>
      <c r="W18" s="143"/>
      <c r="X18" s="143"/>
      <c r="Y18" s="143"/>
      <c r="Z18" s="143"/>
      <c r="AA18" s="143"/>
      <c r="AB18" s="226"/>
      <c r="AC18" s="226"/>
      <c r="AD18" s="226"/>
      <c r="AE18" s="472" t="s">
        <v>531</v>
      </c>
      <c r="AF18" s="226"/>
      <c r="AG18" s="634"/>
      <c r="AH18" s="632"/>
      <c r="AI18" s="456"/>
      <c r="AJ18" s="456"/>
      <c r="AK18" s="1049"/>
      <c r="AL18" s="1049"/>
      <c r="AM18" s="15"/>
      <c r="AN18" s="622"/>
      <c r="AP18" s="450"/>
    </row>
    <row r="19" spans="1:43" x14ac:dyDescent="0.2">
      <c r="A19" s="616">
        <f t="shared" si="0"/>
        <v>15</v>
      </c>
      <c r="B19" s="618"/>
      <c r="C19" s="229"/>
      <c r="D19" s="624"/>
      <c r="E19" s="470"/>
      <c r="F19" s="470"/>
      <c r="G19" s="642"/>
      <c r="H19" s="642"/>
      <c r="I19" s="642"/>
      <c r="J19" s="226"/>
      <c r="K19" s="226"/>
      <c r="L19" s="643"/>
      <c r="M19" s="1097"/>
      <c r="N19" s="1097"/>
      <c r="O19" s="1097"/>
      <c r="P19" s="1097"/>
      <c r="Q19" s="1097"/>
      <c r="R19" s="1097"/>
      <c r="S19" s="1097"/>
      <c r="T19" s="420"/>
      <c r="U19" s="641"/>
      <c r="V19" s="143"/>
      <c r="W19" s="143"/>
      <c r="X19" s="143"/>
      <c r="Y19" s="143"/>
      <c r="Z19" s="143"/>
      <c r="AA19" s="143"/>
      <c r="AB19" s="226"/>
      <c r="AC19" s="226"/>
      <c r="AD19" s="226"/>
      <c r="AE19" s="472" t="s">
        <v>532</v>
      </c>
      <c r="AF19" s="226"/>
      <c r="AG19" s="634"/>
      <c r="AH19" s="632"/>
      <c r="AI19" s="456"/>
      <c r="AJ19" s="456"/>
      <c r="AK19" s="1049"/>
      <c r="AL19" s="1049"/>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05"/>
      <c r="Q20" s="1105"/>
      <c r="R20" s="1105"/>
      <c r="S20" s="1105"/>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1049"/>
      <c r="AL21" s="1049"/>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1049"/>
      <c r="AL22" s="1049"/>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1049"/>
      <c r="AL23" s="1049"/>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1049"/>
      <c r="AL24" s="1049"/>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201"/>
      <c r="Q25" s="1201"/>
      <c r="R25" s="1201"/>
      <c r="S25" s="1201"/>
      <c r="T25" s="623"/>
      <c r="U25" s="114"/>
      <c r="V25" s="467" t="s">
        <v>779</v>
      </c>
      <c r="W25" s="143"/>
      <c r="X25" s="143"/>
      <c r="Y25" s="143"/>
      <c r="Z25" s="143"/>
      <c r="AA25" s="143"/>
      <c r="AB25" s="143"/>
      <c r="AC25" s="143"/>
      <c r="AD25" s="649"/>
      <c r="AE25" s="649"/>
      <c r="AF25" s="649"/>
      <c r="AG25" s="649"/>
      <c r="AH25" s="227"/>
      <c r="AI25" s="456"/>
      <c r="AJ25" s="456"/>
      <c r="AK25" s="1102"/>
      <c r="AL25" s="1102"/>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70"/>
      <c r="AL26" s="1070"/>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77"/>
      <c r="S27" s="1177"/>
      <c r="T27" s="623"/>
      <c r="U27" s="114"/>
      <c r="V27" s="471"/>
      <c r="W27" s="471"/>
      <c r="X27" s="471"/>
      <c r="Y27" s="471"/>
      <c r="Z27" s="471"/>
      <c r="AA27" s="471"/>
      <c r="AB27" s="471"/>
      <c r="AC27" s="143"/>
      <c r="AD27" s="650"/>
      <c r="AE27" s="472" t="s">
        <v>17</v>
      </c>
      <c r="AF27" s="649"/>
      <c r="AG27" s="650"/>
      <c r="AH27" s="445"/>
      <c r="AI27" s="1198"/>
      <c r="AJ27" s="1198"/>
      <c r="AK27" s="1198"/>
      <c r="AL27" s="1198"/>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77"/>
      <c r="S28" s="1177"/>
      <c r="T28" s="623"/>
      <c r="U28" s="137"/>
      <c r="V28" s="226"/>
      <c r="W28" s="226"/>
      <c r="X28" s="226"/>
      <c r="Y28" s="226"/>
      <c r="Z28" s="226"/>
      <c r="AA28" s="226"/>
      <c r="AB28" s="226"/>
      <c r="AC28" s="226"/>
      <c r="AD28" s="226"/>
      <c r="AE28" s="472" t="s">
        <v>534</v>
      </c>
      <c r="AF28" s="226"/>
      <c r="AG28" s="226"/>
      <c r="AH28" s="226"/>
      <c r="AI28" s="1079"/>
      <c r="AJ28" s="1079"/>
      <c r="AK28" s="1079"/>
      <c r="AL28" s="1079"/>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102"/>
      <c r="AL29" s="1102"/>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994"/>
      <c r="X31" s="994"/>
      <c r="Y31" s="994"/>
      <c r="Z31" s="994"/>
      <c r="AA31" s="994"/>
      <c r="AB31" s="994"/>
      <c r="AC31" s="994"/>
      <c r="AD31" s="994"/>
      <c r="AE31" s="994"/>
      <c r="AF31" s="994"/>
      <c r="AG31" s="994"/>
      <c r="AH31" s="994"/>
      <c r="AI31" s="994"/>
      <c r="AJ31" s="994"/>
      <c r="AK31" s="994"/>
      <c r="AL31" s="994"/>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102"/>
      <c r="AL32" s="1102"/>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8" t="s">
        <v>171</v>
      </c>
      <c r="D34" s="1178"/>
      <c r="E34" s="1179"/>
      <c r="F34" s="1182" t="s">
        <v>112</v>
      </c>
      <c r="G34" s="1178"/>
      <c r="H34" s="1179"/>
      <c r="I34" s="1182" t="s">
        <v>172</v>
      </c>
      <c r="J34" s="1178"/>
      <c r="K34" s="1179"/>
      <c r="L34" s="1182" t="s">
        <v>173</v>
      </c>
      <c r="M34" s="1178"/>
      <c r="N34" s="1179"/>
      <c r="O34" s="1002" t="s">
        <v>174</v>
      </c>
      <c r="P34" s="1003"/>
      <c r="Q34" s="1004"/>
      <c r="R34" s="1002" t="s">
        <v>175</v>
      </c>
      <c r="S34" s="1003"/>
      <c r="T34" s="1004"/>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99"/>
      <c r="D35" s="1199"/>
      <c r="E35" s="1200"/>
      <c r="F35" s="1162"/>
      <c r="G35" s="1163"/>
      <c r="H35" s="1164"/>
      <c r="I35" s="1162"/>
      <c r="J35" s="1163"/>
      <c r="K35" s="1164"/>
      <c r="L35" s="1162"/>
      <c r="M35" s="1163"/>
      <c r="N35" s="1164"/>
      <c r="O35" s="1162"/>
      <c r="P35" s="1163"/>
      <c r="Q35" s="1164"/>
      <c r="R35" s="1183">
        <f>F35+I35+L35+O35</f>
        <v>0</v>
      </c>
      <c r="S35" s="1184"/>
      <c r="T35" s="1185"/>
      <c r="U35" s="229"/>
      <c r="V35" s="473" t="s">
        <v>865</v>
      </c>
      <c r="W35" s="464"/>
      <c r="X35" s="452"/>
      <c r="Y35" s="452"/>
      <c r="Z35" s="452"/>
      <c r="AA35" s="452"/>
      <c r="AB35" s="452"/>
      <c r="AC35" s="452"/>
      <c r="AD35" s="452"/>
      <c r="AE35" s="452"/>
      <c r="AF35" s="452"/>
      <c r="AG35" s="452"/>
      <c r="AH35" s="452"/>
      <c r="AI35" s="452"/>
      <c r="AJ35" s="452"/>
      <c r="AK35" s="1049"/>
      <c r="AL35" s="1049"/>
      <c r="AM35" s="15"/>
      <c r="AN35" s="622"/>
    </row>
    <row r="36" spans="1:40" x14ac:dyDescent="0.2">
      <c r="A36" s="616">
        <f t="shared" si="1"/>
        <v>30</v>
      </c>
      <c r="B36" s="618"/>
      <c r="C36" s="1187"/>
      <c r="D36" s="1187"/>
      <c r="E36" s="1188"/>
      <c r="F36" s="1186"/>
      <c r="G36" s="1187"/>
      <c r="H36" s="1188"/>
      <c r="I36" s="1186"/>
      <c r="J36" s="1187"/>
      <c r="K36" s="1188"/>
      <c r="L36" s="1186"/>
      <c r="M36" s="1187"/>
      <c r="N36" s="1188"/>
      <c r="O36" s="1186"/>
      <c r="P36" s="1187"/>
      <c r="Q36" s="1188"/>
      <c r="R36" s="1192">
        <f>F36+I36+L36+O36</f>
        <v>0</v>
      </c>
      <c r="S36" s="1193"/>
      <c r="T36" s="1194"/>
      <c r="U36" s="229"/>
      <c r="V36" s="483" t="s">
        <v>763</v>
      </c>
      <c r="W36" s="464"/>
      <c r="X36" s="452"/>
      <c r="Y36" s="452"/>
      <c r="Z36" s="452"/>
      <c r="AA36" s="452"/>
      <c r="AB36" s="452"/>
      <c r="AC36" s="452"/>
      <c r="AD36" s="452"/>
      <c r="AE36" s="452"/>
      <c r="AF36" s="452"/>
      <c r="AG36" s="452"/>
      <c r="AH36" s="452"/>
      <c r="AI36" s="452"/>
      <c r="AJ36" s="452"/>
      <c r="AK36" s="1102"/>
      <c r="AL36" s="1102"/>
      <c r="AM36" s="15"/>
      <c r="AN36" s="622"/>
    </row>
    <row r="37" spans="1:40" x14ac:dyDescent="0.2">
      <c r="A37" s="616">
        <f t="shared" si="1"/>
        <v>31</v>
      </c>
      <c r="B37" s="618"/>
      <c r="C37" s="1196"/>
      <c r="D37" s="1196"/>
      <c r="E37" s="1197"/>
      <c r="F37" s="1195"/>
      <c r="G37" s="1196"/>
      <c r="H37" s="1197"/>
      <c r="I37" s="1195"/>
      <c r="J37" s="1196"/>
      <c r="K37" s="1197"/>
      <c r="L37" s="1195"/>
      <c r="M37" s="1196"/>
      <c r="N37" s="1197"/>
      <c r="O37" s="1195"/>
      <c r="P37" s="1196"/>
      <c r="Q37" s="1197"/>
      <c r="R37" s="1189">
        <f>F37+I37+L37+O37</f>
        <v>0</v>
      </c>
      <c r="S37" s="1190"/>
      <c r="T37" s="1191"/>
      <c r="U37" s="229"/>
      <c r="V37" s="484" t="s">
        <v>693</v>
      </c>
      <c r="W37" s="464"/>
      <c r="X37" s="452"/>
      <c r="Y37" s="452"/>
      <c r="Z37" s="452"/>
      <c r="AA37" s="452"/>
      <c r="AB37" s="452"/>
      <c r="AC37" s="452"/>
      <c r="AD37" s="452"/>
      <c r="AE37" s="452"/>
      <c r="AF37" s="452"/>
      <c r="AG37" s="452"/>
      <c r="AH37" s="452"/>
      <c r="AI37" s="452"/>
      <c r="AJ37" s="1047"/>
      <c r="AK37" s="1047"/>
      <c r="AL37" s="1047"/>
      <c r="AM37" s="15"/>
      <c r="AN37" s="622"/>
    </row>
    <row r="38" spans="1:40" x14ac:dyDescent="0.2">
      <c r="A38" s="616">
        <f t="shared" si="1"/>
        <v>32</v>
      </c>
      <c r="B38" s="618"/>
      <c r="C38" s="239"/>
      <c r="D38" s="624"/>
      <c r="E38" s="470"/>
      <c r="F38" s="470"/>
      <c r="G38" s="642"/>
      <c r="H38" s="642"/>
      <c r="I38" s="642"/>
      <c r="J38" s="1165"/>
      <c r="K38" s="1165"/>
      <c r="L38" s="1165"/>
      <c r="M38" s="1165"/>
      <c r="N38" s="1165"/>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1058"/>
      <c r="AK38" s="1058"/>
      <c r="AL38" s="1058"/>
      <c r="AM38" s="15"/>
      <c r="AN38" s="622"/>
    </row>
    <row r="39" spans="1:40" x14ac:dyDescent="0.2">
      <c r="A39" s="616">
        <f t="shared" si="1"/>
        <v>33</v>
      </c>
      <c r="B39" s="618"/>
      <c r="C39" s="1171" t="s">
        <v>72</v>
      </c>
      <c r="D39" s="1171"/>
      <c r="E39" s="1171"/>
      <c r="F39" s="1171"/>
      <c r="G39" s="1171"/>
      <c r="H39" s="1171"/>
      <c r="I39" s="1171"/>
      <c r="J39" s="1171"/>
      <c r="K39" s="1171"/>
      <c r="L39" s="1171"/>
      <c r="M39" s="1171"/>
      <c r="N39" s="1171"/>
      <c r="O39" s="1171"/>
      <c r="P39" s="1171"/>
      <c r="Q39" s="1171"/>
      <c r="R39" s="1171"/>
      <c r="S39" s="1171"/>
      <c r="T39" s="1172"/>
      <c r="U39" s="229"/>
      <c r="V39" s="484" t="s">
        <v>825</v>
      </c>
      <c r="W39" s="464"/>
      <c r="X39" s="474"/>
      <c r="Y39" s="474"/>
      <c r="Z39" s="474"/>
      <c r="AA39" s="474"/>
      <c r="AB39" s="474"/>
      <c r="AC39" s="474"/>
      <c r="AD39" s="474"/>
      <c r="AE39" s="474"/>
      <c r="AF39" s="474"/>
      <c r="AG39" s="474"/>
      <c r="AH39" s="474"/>
      <c r="AI39" s="474"/>
      <c r="AJ39" s="1047"/>
      <c r="AK39" s="1047"/>
      <c r="AL39" s="1047"/>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05"/>
      <c r="S40" s="1058"/>
      <c r="T40" s="659"/>
      <c r="U40" s="229"/>
      <c r="V40" s="484" t="s">
        <v>788</v>
      </c>
      <c r="W40" s="464"/>
      <c r="X40" s="474"/>
      <c r="Y40" s="474"/>
      <c r="Z40" s="474"/>
      <c r="AA40" s="474"/>
      <c r="AB40" s="474"/>
      <c r="AC40" s="474"/>
      <c r="AD40" s="474"/>
      <c r="AE40" s="474"/>
      <c r="AF40" s="474"/>
      <c r="AG40" s="474"/>
      <c r="AH40" s="474"/>
      <c r="AI40" s="474"/>
      <c r="AJ40" s="1058"/>
      <c r="AK40" s="1058"/>
      <c r="AL40" s="1058"/>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1058"/>
      <c r="AK41" s="1058"/>
      <c r="AL41" s="1058"/>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076"/>
      <c r="S42" s="1076"/>
      <c r="T42" s="234"/>
      <c r="U42" s="644"/>
      <c r="V42" s="484" t="s">
        <v>785</v>
      </c>
      <c r="W42" s="12"/>
      <c r="X42" s="12"/>
      <c r="Y42" s="12"/>
      <c r="Z42" s="12"/>
      <c r="AA42" s="12"/>
      <c r="AB42" s="12"/>
      <c r="AC42" s="12"/>
      <c r="AD42" s="12"/>
      <c r="AE42" s="12"/>
      <c r="AF42" s="12"/>
      <c r="AG42" s="12" t="s">
        <v>16</v>
      </c>
      <c r="AH42" s="1058"/>
      <c r="AI42" s="1058"/>
      <c r="AJ42" s="1058"/>
      <c r="AK42" s="1058"/>
      <c r="AL42" s="1058"/>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1058"/>
      <c r="AK43" s="1058"/>
      <c r="AL43" s="1058"/>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98"/>
      <c r="S44" s="1098"/>
      <c r="T44" s="234"/>
      <c r="U44" s="242"/>
      <c r="V44" s="484" t="s">
        <v>792</v>
      </c>
      <c r="W44" s="12"/>
      <c r="X44" s="475"/>
      <c r="Y44" s="12"/>
      <c r="Z44" s="12"/>
      <c r="AA44" s="12"/>
      <c r="AB44" s="12"/>
      <c r="AC44" s="12"/>
      <c r="AD44" s="12"/>
      <c r="AE44" s="454"/>
      <c r="AF44" s="475"/>
      <c r="AG44" s="12"/>
      <c r="AH44" s="503"/>
      <c r="AI44" s="456"/>
      <c r="AJ44" s="1058"/>
      <c r="AK44" s="1058"/>
      <c r="AL44" s="1058"/>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05"/>
      <c r="S45" s="1105"/>
      <c r="T45" s="234"/>
      <c r="U45" s="242"/>
      <c r="V45" s="484" t="s">
        <v>791</v>
      </c>
      <c r="W45" s="12"/>
      <c r="X45" s="475"/>
      <c r="Y45" s="12"/>
      <c r="Z45" s="12"/>
      <c r="AA45" s="12"/>
      <c r="AB45" s="12"/>
      <c r="AC45" s="12"/>
      <c r="AD45" s="12"/>
      <c r="AE45" s="454"/>
      <c r="AF45" s="113"/>
      <c r="AG45" s="113"/>
      <c r="AH45" s="503"/>
      <c r="AI45" s="456"/>
      <c r="AJ45" s="1058"/>
      <c r="AK45" s="1058"/>
      <c r="AL45" s="1058"/>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66"/>
      <c r="S46" s="1166"/>
      <c r="T46" s="654"/>
      <c r="U46" s="661"/>
      <c r="V46" s="484" t="s">
        <v>786</v>
      </c>
      <c r="W46" s="239"/>
      <c r="X46" s="473"/>
      <c r="Y46" s="473"/>
      <c r="Z46" s="473"/>
      <c r="AA46" s="473"/>
      <c r="AB46" s="473"/>
      <c r="AC46" s="473"/>
      <c r="AD46" s="473"/>
      <c r="AE46" s="473"/>
      <c r="AF46" s="473"/>
      <c r="AG46" s="473"/>
      <c r="AH46" s="503"/>
      <c r="AI46" s="456"/>
      <c r="AJ46" s="1058"/>
      <c r="AK46" s="1058"/>
      <c r="AL46" s="1058"/>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98"/>
      <c r="S47" s="1098"/>
      <c r="T47" s="664"/>
      <c r="U47" s="449"/>
      <c r="V47" s="484" t="s">
        <v>783</v>
      </c>
      <c r="W47" s="240"/>
      <c r="X47" s="240"/>
      <c r="Y47" s="240"/>
      <c r="Z47" s="240"/>
      <c r="AA47" s="240"/>
      <c r="AB47" s="240"/>
      <c r="AC47" s="240"/>
      <c r="AD47" s="240"/>
      <c r="AE47" s="240"/>
      <c r="AF47" s="240"/>
      <c r="AG47" s="240"/>
      <c r="AH47" s="240"/>
      <c r="AI47" s="240"/>
      <c r="AJ47" s="1058"/>
      <c r="AK47" s="1058"/>
      <c r="AL47" s="1058"/>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66"/>
      <c r="S48" s="1166"/>
      <c r="T48" s="654"/>
      <c r="U48" s="449"/>
      <c r="V48" s="484" t="s">
        <v>787</v>
      </c>
      <c r="W48" s="476"/>
      <c r="X48" s="476"/>
      <c r="Y48" s="476"/>
      <c r="Z48" s="476"/>
      <c r="AA48" s="476"/>
      <c r="AB48" s="476"/>
      <c r="AC48" s="476"/>
      <c r="AD48" s="476"/>
      <c r="AE48" s="476"/>
      <c r="AF48" s="476"/>
      <c r="AG48" s="476"/>
      <c r="AH48" s="476"/>
      <c r="AI48" s="476"/>
      <c r="AJ48" s="1058"/>
      <c r="AK48" s="1058"/>
      <c r="AL48" s="1058"/>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1058"/>
      <c r="AK49" s="1058"/>
      <c r="AL49" s="1058"/>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70"/>
      <c r="S50" s="1070"/>
      <c r="T50" s="623"/>
      <c r="U50" s="436"/>
      <c r="V50" s="484" t="s">
        <v>795</v>
      </c>
      <c r="W50" s="436"/>
      <c r="X50" s="436"/>
      <c r="Y50" s="436"/>
      <c r="Z50" s="436"/>
      <c r="AA50" s="436"/>
      <c r="AB50" s="436"/>
      <c r="AC50" s="436"/>
      <c r="AD50" s="436"/>
      <c r="AE50" s="436"/>
      <c r="AF50" s="436"/>
      <c r="AG50" s="436"/>
      <c r="AH50" s="436"/>
      <c r="AI50" s="436"/>
      <c r="AJ50" s="1058"/>
      <c r="AK50" s="1058"/>
      <c r="AL50" s="1058"/>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70"/>
      <c r="S51" s="1070"/>
      <c r="T51" s="623"/>
      <c r="U51" s="436"/>
      <c r="V51" s="485" t="s">
        <v>778</v>
      </c>
      <c r="W51" s="436"/>
      <c r="X51" s="436"/>
      <c r="Y51" s="436"/>
      <c r="Z51" s="436"/>
      <c r="AA51" s="436"/>
      <c r="AB51" s="436"/>
      <c r="AC51" s="436"/>
      <c r="AD51" s="436"/>
      <c r="AE51" s="436"/>
      <c r="AF51" s="436"/>
      <c r="AG51" s="436"/>
      <c r="AH51" s="436"/>
      <c r="AI51" s="436"/>
      <c r="AJ51" s="1058"/>
      <c r="AK51" s="1058"/>
      <c r="AL51" s="1058"/>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70"/>
      <c r="S52" s="1070"/>
      <c r="T52" s="623"/>
      <c r="U52" s="436"/>
      <c r="V52" s="841" t="s">
        <v>827</v>
      </c>
      <c r="AH52" s="1062"/>
      <c r="AI52" s="1062"/>
      <c r="AJ52" s="1062"/>
      <c r="AK52" s="1062"/>
      <c r="AL52" s="1062"/>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70"/>
      <c r="S53" s="1070"/>
      <c r="T53" s="623"/>
      <c r="U53" s="436"/>
      <c r="V53" s="485" t="s">
        <v>694</v>
      </c>
      <c r="W53" s="436"/>
      <c r="X53" s="436"/>
      <c r="Y53" s="436"/>
      <c r="Z53" s="436"/>
      <c r="AA53" s="436"/>
      <c r="AB53" s="436"/>
      <c r="AC53" s="436"/>
      <c r="AD53" s="436"/>
      <c r="AE53" s="436"/>
      <c r="AF53" s="436"/>
      <c r="AG53" s="436"/>
      <c r="AH53" s="436"/>
      <c r="AI53" s="436"/>
      <c r="AJ53" s="1047"/>
      <c r="AK53" s="1047"/>
      <c r="AL53" s="1047"/>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70"/>
      <c r="S54" s="1070"/>
      <c r="T54" s="665"/>
      <c r="U54" s="436"/>
      <c r="V54" s="485" t="s">
        <v>695</v>
      </c>
      <c r="W54" s="436"/>
      <c r="X54" s="436"/>
      <c r="Y54" s="436"/>
      <c r="Z54" s="436"/>
      <c r="AA54" s="436"/>
      <c r="AB54" s="436"/>
      <c r="AC54" s="436"/>
      <c r="AD54" s="436"/>
      <c r="AE54" s="436"/>
      <c r="AF54" s="436"/>
      <c r="AG54" s="436"/>
      <c r="AH54" s="436"/>
      <c r="AI54" s="436"/>
      <c r="AJ54" s="1047"/>
      <c r="AK54" s="1047"/>
      <c r="AL54" s="1047"/>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1047"/>
      <c r="AK55" s="1047"/>
      <c r="AL55" s="1047"/>
      <c r="AM55" s="432"/>
      <c r="AN55" s="622"/>
    </row>
    <row r="56" spans="1:40" x14ac:dyDescent="0.2">
      <c r="A56" s="616">
        <f t="shared" si="2"/>
        <v>50</v>
      </c>
      <c r="B56" s="618"/>
      <c r="C56" s="650"/>
      <c r="D56" s="473"/>
      <c r="E56" s="841"/>
      <c r="R56" s="1102"/>
      <c r="S56" s="1102"/>
      <c r="T56" s="623"/>
      <c r="U56" s="436"/>
      <c r="V56" s="484" t="s">
        <v>789</v>
      </c>
      <c r="W56" s="436"/>
      <c r="X56" s="436"/>
      <c r="Y56" s="436"/>
      <c r="Z56" s="436"/>
      <c r="AA56" s="436"/>
      <c r="AB56" s="436"/>
      <c r="AC56" s="436"/>
      <c r="AD56" s="436"/>
      <c r="AE56" s="436"/>
      <c r="AF56" s="436"/>
      <c r="AG56" s="436"/>
      <c r="AH56" s="436"/>
      <c r="AI56" s="436"/>
      <c r="AJ56" s="1058"/>
      <c r="AK56" s="1058"/>
      <c r="AL56" s="1058"/>
      <c r="AM56" s="432"/>
      <c r="AN56" s="622"/>
    </row>
    <row r="57" spans="1:40" x14ac:dyDescent="0.2">
      <c r="A57" s="616">
        <f t="shared" si="2"/>
        <v>51</v>
      </c>
      <c r="B57" s="618"/>
      <c r="C57" s="650"/>
      <c r="D57" s="473" t="s">
        <v>555</v>
      </c>
      <c r="N57" s="841" t="s">
        <v>732</v>
      </c>
      <c r="R57" s="1102"/>
      <c r="S57" s="1102"/>
      <c r="T57" s="623"/>
      <c r="U57" s="436"/>
      <c r="V57" s="484" t="s">
        <v>790</v>
      </c>
      <c r="W57" s="436"/>
      <c r="X57" s="436"/>
      <c r="Y57" s="436"/>
      <c r="Z57" s="436"/>
      <c r="AA57" s="436"/>
      <c r="AB57" s="436"/>
      <c r="AC57" s="436"/>
      <c r="AD57" s="436"/>
      <c r="AE57" s="436"/>
      <c r="AF57" s="436"/>
      <c r="AG57" s="436"/>
      <c r="AH57" s="436"/>
      <c r="AI57" s="436"/>
      <c r="AJ57" s="1180"/>
      <c r="AK57" s="1180"/>
      <c r="AL57" s="1180"/>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70"/>
      <c r="S58" s="1070"/>
      <c r="T58" s="481"/>
      <c r="U58" s="449"/>
      <c r="V58" s="862"/>
      <c r="W58" s="863"/>
      <c r="X58" s="863"/>
      <c r="Y58" s="863"/>
      <c r="Z58" s="863"/>
      <c r="AA58" s="863"/>
      <c r="AB58" s="863"/>
      <c r="AC58" s="863"/>
      <c r="AD58" s="863"/>
      <c r="AE58" s="863"/>
      <c r="AF58" s="863"/>
      <c r="AG58" s="863"/>
      <c r="AH58" s="863"/>
      <c r="AI58" s="863"/>
      <c r="AJ58" s="1167"/>
      <c r="AK58" s="1167"/>
      <c r="AL58" s="1167"/>
      <c r="AM58" s="864"/>
      <c r="AN58" s="865"/>
    </row>
    <row r="59" spans="1:40" ht="12.75" customHeight="1" x14ac:dyDescent="0.2">
      <c r="A59" s="616"/>
      <c r="B59" s="618"/>
      <c r="D59" s="473" t="s">
        <v>757</v>
      </c>
      <c r="O59" s="725"/>
      <c r="R59" s="1070"/>
      <c r="S59" s="1070"/>
      <c r="T59" s="482"/>
      <c r="U59" s="449"/>
      <c r="V59" s="485" t="s">
        <v>798</v>
      </c>
      <c r="W59" s="436"/>
      <c r="X59" s="436"/>
      <c r="Y59" s="436"/>
      <c r="Z59" s="436"/>
      <c r="AA59" s="436"/>
      <c r="AB59" s="436"/>
      <c r="AC59" s="436"/>
      <c r="AD59" s="436"/>
      <c r="AE59" s="436"/>
      <c r="AF59" s="436"/>
      <c r="AG59" s="436"/>
      <c r="AH59" s="436"/>
      <c r="AI59" s="436"/>
      <c r="AJ59" s="1058"/>
      <c r="AK59" s="1058"/>
      <c r="AL59" s="1058"/>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70"/>
      <c r="S60" s="1070"/>
      <c r="T60" s="482"/>
      <c r="U60" s="817"/>
      <c r="V60" s="472" t="s">
        <v>813</v>
      </c>
      <c r="W60" s="436"/>
      <c r="X60" s="436"/>
      <c r="Y60" s="436"/>
      <c r="Z60" s="436"/>
      <c r="AA60" s="436"/>
      <c r="AB60" s="436"/>
      <c r="AC60" s="436"/>
      <c r="AD60" s="436"/>
      <c r="AE60" s="436"/>
      <c r="AF60" s="436"/>
      <c r="AG60" s="436"/>
      <c r="AH60" s="436"/>
      <c r="AI60" s="436"/>
      <c r="AJ60" s="1058"/>
      <c r="AK60" s="1058"/>
      <c r="AL60" s="1058"/>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70"/>
      <c r="S61" s="1070"/>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102"/>
      <c r="S62" s="1102"/>
      <c r="T62" s="482"/>
      <c r="U62" s="702"/>
      <c r="W62" s="841" t="s">
        <v>807</v>
      </c>
      <c r="AJ62" s="1058"/>
      <c r="AK62" s="1058"/>
      <c r="AL62" s="1058"/>
      <c r="AM62" s="15"/>
      <c r="AN62" s="622"/>
    </row>
    <row r="63" spans="1:40" x14ac:dyDescent="0.2">
      <c r="A63" s="616">
        <f t="shared" si="2"/>
        <v>56</v>
      </c>
      <c r="B63" s="618"/>
      <c r="C63" s="437"/>
      <c r="D63" s="484" t="s">
        <v>775</v>
      </c>
      <c r="E63" s="482"/>
      <c r="F63" s="482"/>
      <c r="G63" s="482"/>
      <c r="H63" s="482"/>
      <c r="I63" s="482"/>
      <c r="J63" s="482"/>
      <c r="K63" s="482"/>
      <c r="L63" s="482"/>
      <c r="M63" s="482"/>
      <c r="N63" s="1102"/>
      <c r="O63" s="1102"/>
      <c r="P63" s="1102"/>
      <c r="Q63" s="1102"/>
      <c r="R63" s="1102"/>
      <c r="S63" s="1102"/>
      <c r="T63" s="482"/>
      <c r="U63" s="702"/>
      <c r="V63" s="485" t="s">
        <v>796</v>
      </c>
      <c r="W63" s="481"/>
      <c r="X63" s="481"/>
      <c r="Y63" s="481"/>
      <c r="Z63" s="481"/>
      <c r="AA63" s="481"/>
      <c r="AB63" s="481"/>
      <c r="AC63" s="481"/>
      <c r="AD63" s="481"/>
      <c r="AE63" s="481"/>
      <c r="AF63" s="481"/>
      <c r="AG63" s="481"/>
      <c r="AH63" s="481"/>
      <c r="AI63" s="481"/>
      <c r="AJ63" s="1058"/>
      <c r="AK63" s="1058"/>
      <c r="AL63" s="1058"/>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1049"/>
      <c r="S64" s="1049"/>
      <c r="T64" s="482"/>
      <c r="U64" s="702"/>
      <c r="V64" s="485" t="s">
        <v>535</v>
      </c>
      <c r="W64" s="482"/>
      <c r="X64" s="482"/>
      <c r="Y64" s="482"/>
      <c r="Z64" s="482"/>
      <c r="AA64" s="482"/>
      <c r="AB64" s="482"/>
      <c r="AC64" s="482"/>
      <c r="AD64" s="482"/>
      <c r="AE64" s="482"/>
      <c r="AF64" s="482"/>
      <c r="AG64" s="482"/>
      <c r="AH64" s="482"/>
      <c r="AI64" s="482"/>
      <c r="AJ64" s="1168"/>
      <c r="AK64" s="1168"/>
      <c r="AL64" s="1168"/>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102"/>
      <c r="S65" s="1102"/>
      <c r="T65" s="482"/>
      <c r="U65" s="702"/>
      <c r="V65" s="1169"/>
      <c r="W65" s="1169"/>
      <c r="X65" s="1169"/>
      <c r="Y65" s="1169"/>
      <c r="Z65" s="1169"/>
      <c r="AA65" s="1169"/>
      <c r="AB65" s="1169"/>
      <c r="AC65" s="1169"/>
      <c r="AD65" s="1169"/>
      <c r="AE65" s="1169"/>
      <c r="AF65" s="1169"/>
      <c r="AG65" s="1169"/>
      <c r="AH65" s="1169"/>
      <c r="AI65" s="1169"/>
      <c r="AJ65" s="1169"/>
      <c r="AK65" s="1169"/>
      <c r="AL65" s="1169"/>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102"/>
      <c r="S66" s="1102"/>
      <c r="T66" s="482"/>
      <c r="U66" s="702"/>
      <c r="V66" s="841" t="s">
        <v>797</v>
      </c>
      <c r="AJ66" s="1181"/>
      <c r="AK66" s="1181"/>
      <c r="AL66" s="1181"/>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102"/>
      <c r="S67" s="1102"/>
      <c r="T67" s="482"/>
      <c r="U67" s="702"/>
      <c r="V67" s="1169"/>
      <c r="W67" s="1169"/>
      <c r="X67" s="1169"/>
      <c r="Y67" s="1169"/>
      <c r="Z67" s="1169"/>
      <c r="AA67" s="1169"/>
      <c r="AB67" s="1169"/>
      <c r="AC67" s="1169"/>
      <c r="AD67" s="1169"/>
      <c r="AE67" s="1169"/>
      <c r="AF67" s="1169"/>
      <c r="AG67" s="1169"/>
      <c r="AH67" s="1169"/>
      <c r="AI67" s="1169"/>
      <c r="AJ67" s="1169"/>
      <c r="AK67" s="1169"/>
      <c r="AL67" s="1169"/>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1058"/>
      <c r="AK68" s="1058"/>
      <c r="AL68" s="1058"/>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1047"/>
      <c r="AK69" s="1047"/>
      <c r="AL69" s="1047"/>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1047"/>
      <c r="AK70" s="1047"/>
      <c r="AL70" s="1047"/>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145"/>
      <c r="J73" s="1145"/>
      <c r="K73" s="1145"/>
      <c r="L73" s="1145"/>
      <c r="M73" s="1145"/>
      <c r="N73" s="1145"/>
      <c r="O73" s="1145"/>
      <c r="P73" s="1145"/>
      <c r="Q73" s="1145"/>
      <c r="R73" s="1145"/>
      <c r="S73" s="1145"/>
      <c r="T73" s="1145"/>
      <c r="W73" s="104" t="s">
        <v>48</v>
      </c>
      <c r="X73" s="104"/>
      <c r="Y73" s="1109"/>
      <c r="Z73" s="1109"/>
      <c r="AE73" s="292" t="s">
        <v>271</v>
      </c>
      <c r="AF73" s="292"/>
      <c r="AG73" s="292"/>
      <c r="AH73" s="1108"/>
      <c r="AI73" s="1108"/>
      <c r="AJ73" s="258" t="s">
        <v>269</v>
      </c>
      <c r="AK73" s="1096" t="str">
        <f>IF(C_PageNo_Total=0,"",C_PageNo_Total)</f>
        <v/>
      </c>
      <c r="AL73" s="1096"/>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17"/>
      <c r="K4" s="1218"/>
      <c r="L4" s="1218"/>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9"/>
      <c r="G5" s="122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1220"/>
      <c r="AK5" s="1220"/>
      <c r="AL5" s="1220"/>
      <c r="AM5" s="6"/>
      <c r="AN5" s="207"/>
    </row>
    <row r="6" spans="1:44" x14ac:dyDescent="0.2">
      <c r="A6" s="107">
        <f>A5+1</f>
        <v>3</v>
      </c>
      <c r="B6" s="107"/>
      <c r="C6" s="6"/>
      <c r="D6" s="6"/>
      <c r="E6" s="21"/>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6"/>
      <c r="AN6" s="188"/>
    </row>
    <row r="7" spans="1:44" x14ac:dyDescent="0.2">
      <c r="A7" s="107">
        <f>A6+1</f>
        <v>4</v>
      </c>
      <c r="B7" s="168"/>
      <c r="C7" s="173"/>
      <c r="D7" s="423"/>
      <c r="E7" s="153"/>
      <c r="F7" s="1222"/>
      <c r="G7" s="1222"/>
      <c r="H7" s="1222"/>
      <c r="I7" s="1222"/>
      <c r="J7" s="1222"/>
      <c r="K7" s="1222"/>
      <c r="L7" s="1222"/>
      <c r="M7" s="1222"/>
      <c r="N7" s="1222"/>
      <c r="O7" s="1222"/>
      <c r="P7" s="1222"/>
      <c r="Q7" s="1222"/>
      <c r="R7" s="1222"/>
      <c r="S7" s="1222"/>
      <c r="T7" s="1222"/>
      <c r="U7" s="1222"/>
      <c r="V7" s="1222"/>
      <c r="W7" s="1222"/>
      <c r="X7" s="1222"/>
      <c r="Y7" s="1222"/>
      <c r="Z7" s="1222"/>
      <c r="AA7" s="1222"/>
      <c r="AB7" s="1222"/>
      <c r="AC7" s="1222"/>
      <c r="AD7" s="1222"/>
      <c r="AE7" s="1222"/>
      <c r="AF7" s="1222"/>
      <c r="AG7" s="1222"/>
      <c r="AH7" s="1222"/>
      <c r="AI7" s="1222"/>
      <c r="AJ7" s="1222"/>
      <c r="AK7" s="1222"/>
      <c r="AL7" s="1222"/>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34" t="s">
        <v>75</v>
      </c>
      <c r="D9" s="1155"/>
      <c r="E9" s="1155"/>
      <c r="F9" s="1155"/>
      <c r="G9" s="1155"/>
      <c r="H9" s="1155"/>
      <c r="I9" s="1155"/>
      <c r="J9" s="1155"/>
      <c r="K9" s="1155"/>
      <c r="L9" s="1155"/>
      <c r="M9" s="1155"/>
      <c r="N9" s="1155"/>
      <c r="O9" s="1155"/>
      <c r="P9" s="1155"/>
      <c r="Q9" s="1155"/>
      <c r="R9" s="1155"/>
      <c r="S9" s="1155"/>
      <c r="T9" s="1084"/>
      <c r="U9" s="1134" t="s">
        <v>76</v>
      </c>
      <c r="V9" s="1155"/>
      <c r="W9" s="1155"/>
      <c r="X9" s="1155"/>
      <c r="Y9" s="1155"/>
      <c r="Z9" s="1155"/>
      <c r="AA9" s="1155"/>
      <c r="AB9" s="1155"/>
      <c r="AC9" s="1155"/>
      <c r="AD9" s="1155"/>
      <c r="AE9" s="1155"/>
      <c r="AF9" s="1155"/>
      <c r="AG9" s="1155"/>
      <c r="AH9" s="1155"/>
      <c r="AI9" s="1155"/>
      <c r="AJ9" s="1155"/>
      <c r="AK9" s="1155"/>
      <c r="AL9" s="1155"/>
      <c r="AM9" s="1084"/>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4"/>
      <c r="AH10" s="1224"/>
      <c r="AI10" s="1224"/>
      <c r="AJ10" s="1224"/>
      <c r="AK10" s="1224"/>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6"/>
      <c r="N11" s="1206"/>
      <c r="O11" s="374" t="str">
        <f ca="1">Units!$B$26</f>
        <v>lbf</v>
      </c>
      <c r="P11" s="421"/>
      <c r="Q11" s="1206"/>
      <c r="R11" s="1206"/>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6"/>
      <c r="N12" s="1206"/>
      <c r="O12" s="374" t="str">
        <f ca="1">Units!$B$26</f>
        <v>lbf</v>
      </c>
      <c r="P12" s="421"/>
      <c r="Q12" s="1206"/>
      <c r="R12" s="1206"/>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6"/>
      <c r="N13" s="1206"/>
      <c r="O13" s="374" t="str">
        <f ca="1">Units!$B$26</f>
        <v>lbf</v>
      </c>
      <c r="P13" s="421"/>
      <c r="Q13" s="1206"/>
      <c r="R13" s="1206"/>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6"/>
      <c r="N14" s="1206"/>
      <c r="O14" s="374" t="str">
        <f ca="1">Units!$B$26</f>
        <v>lbf</v>
      </c>
      <c r="P14" s="421"/>
      <c r="Q14" s="1206"/>
      <c r="R14" s="1206"/>
      <c r="S14" s="374" t="str">
        <f ca="1">Units!$B$26</f>
        <v>lbf</v>
      </c>
      <c r="T14" s="29"/>
      <c r="U14" s="6"/>
      <c r="V14" s="588" t="s">
        <v>607</v>
      </c>
      <c r="W14" s="35"/>
      <c r="X14" s="6"/>
      <c r="Y14" s="6"/>
      <c r="Z14" s="6"/>
      <c r="AA14" s="21"/>
      <c r="AB14" s="21"/>
      <c r="AC14" s="21"/>
      <c r="AD14" s="26"/>
      <c r="AE14" s="21"/>
      <c r="AF14" s="21"/>
      <c r="AG14" s="1049"/>
      <c r="AH14" s="1049"/>
      <c r="AI14" s="1049"/>
      <c r="AJ14" s="1049"/>
      <c r="AK14" s="1049"/>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6"/>
      <c r="N15" s="1206"/>
      <c r="O15" s="374" t="str">
        <f ca="1">Units!$B$26</f>
        <v>lbf</v>
      </c>
      <c r="P15" s="421"/>
      <c r="Q15" s="1206"/>
      <c r="R15" s="1206"/>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076"/>
      <c r="R16" s="1076"/>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6"/>
      <c r="N17" s="1206"/>
      <c r="O17" s="374" t="str">
        <f ca="1">Units!$B$12</f>
        <v>ft</v>
      </c>
      <c r="P17" s="371" t="s">
        <v>176</v>
      </c>
      <c r="Q17" s="1206"/>
      <c r="R17" s="1206"/>
      <c r="S17" s="374" t="str">
        <f ca="1">Units!$B$12</f>
        <v>ft</v>
      </c>
      <c r="T17" s="29"/>
      <c r="U17" s="6"/>
      <c r="V17" s="20" t="s">
        <v>140</v>
      </c>
      <c r="W17" s="586" t="s">
        <v>609</v>
      </c>
      <c r="AB17" s="21"/>
      <c r="AC17" s="21"/>
      <c r="AD17" s="21"/>
      <c r="AE17" s="26"/>
      <c r="AF17" s="1049"/>
      <c r="AG17" s="1049"/>
      <c r="AH17" s="1049"/>
      <c r="AI17" s="1049"/>
      <c r="AJ17" s="1049"/>
      <c r="AK17" s="1049"/>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6"/>
      <c r="R18" s="1206"/>
      <c r="S18" s="374" t="str">
        <f ca="1">Units!$B$13</f>
        <v>in.</v>
      </c>
      <c r="T18" s="29"/>
      <c r="U18" s="117"/>
      <c r="V18" s="6" t="s">
        <v>94</v>
      </c>
      <c r="W18" s="36"/>
      <c r="X18" s="6"/>
      <c r="Y18" s="6"/>
      <c r="Z18" s="6"/>
      <c r="AA18" s="21"/>
      <c r="AB18" s="21"/>
      <c r="AC18" s="21"/>
      <c r="AD18" s="21"/>
      <c r="AE18" s="21"/>
      <c r="AF18" s="36"/>
      <c r="AG18" s="813"/>
      <c r="AH18" s="813"/>
      <c r="AI18" s="813"/>
      <c r="AJ18" s="1076"/>
      <c r="AK18" s="1076"/>
      <c r="AL18" s="424"/>
      <c r="AM18" s="6"/>
      <c r="AN18" s="189"/>
      <c r="AP18" s="584"/>
      <c r="AQ18" s="587"/>
      <c r="AR18" s="584"/>
    </row>
    <row r="19" spans="1:44" x14ac:dyDescent="0.2">
      <c r="A19" s="107">
        <f t="shared" si="0"/>
        <v>16</v>
      </c>
      <c r="B19" s="167"/>
      <c r="D19" s="580" t="s">
        <v>605</v>
      </c>
      <c r="Q19" s="1098"/>
      <c r="R19" s="1098"/>
      <c r="T19" s="386"/>
      <c r="U19" s="117"/>
      <c r="V19" s="6" t="s">
        <v>814</v>
      </c>
      <c r="W19" s="36"/>
      <c r="X19" s="21"/>
      <c r="Y19" s="21"/>
      <c r="Z19" s="21"/>
      <c r="AA19" s="21"/>
      <c r="AB19" s="21"/>
      <c r="AC19" s="21"/>
      <c r="AD19" s="21"/>
      <c r="AE19" s="21"/>
      <c r="AF19" s="21"/>
      <c r="AG19" s="456"/>
      <c r="AH19" s="456"/>
      <c r="AI19" s="456"/>
      <c r="AJ19" s="1105"/>
      <c r="AK19" s="1105"/>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25"/>
      <c r="N20" s="1225"/>
      <c r="O20" s="1225"/>
      <c r="P20" s="1225"/>
      <c r="Q20" s="1225"/>
      <c r="R20" s="1225"/>
      <c r="S20" s="36"/>
      <c r="T20" s="386"/>
      <c r="U20" s="117"/>
      <c r="V20" s="6" t="s">
        <v>97</v>
      </c>
      <c r="W20" s="36"/>
      <c r="X20" s="21"/>
      <c r="Y20" s="21"/>
      <c r="Z20" s="21"/>
      <c r="AA20" s="21"/>
      <c r="AB20" s="21"/>
      <c r="AC20" s="21"/>
      <c r="AD20" s="21"/>
      <c r="AE20" s="21"/>
      <c r="AF20" s="36"/>
      <c r="AG20" s="456"/>
      <c r="AH20" s="456"/>
      <c r="AI20" s="456"/>
      <c r="AJ20" s="1076"/>
      <c r="AK20" s="1076"/>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05"/>
      <c r="AK21" s="1105"/>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076"/>
      <c r="AK23" s="1076"/>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26"/>
      <c r="Q26" s="1226"/>
      <c r="R26" s="1226"/>
      <c r="S26" s="120"/>
      <c r="T26" s="29"/>
      <c r="U26" s="117"/>
      <c r="V26" s="36"/>
      <c r="W26" s="36"/>
      <c r="X26" s="36"/>
      <c r="Y26" s="36"/>
      <c r="Z26" s="36"/>
      <c r="AA26" s="36"/>
      <c r="AB26" s="36"/>
      <c r="AC26" s="36"/>
      <c r="AD26" s="36"/>
      <c r="AE26" s="36"/>
      <c r="AF26" s="36"/>
      <c r="AG26" s="36"/>
      <c r="AH26" s="36"/>
      <c r="AI26" s="594"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4" t="s">
        <v>90</v>
      </c>
      <c r="AJ27" s="1207"/>
      <c r="AK27" s="1207"/>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1049"/>
      <c r="Q28" s="1049"/>
      <c r="R28" s="1049"/>
      <c r="T28" s="29"/>
      <c r="U28" s="117"/>
      <c r="X28" s="841" t="s">
        <v>811</v>
      </c>
      <c r="AI28" s="594"/>
      <c r="AJ28" s="1105"/>
      <c r="AK28" s="1105"/>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05"/>
      <c r="AK29" s="110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05"/>
      <c r="AK30" s="1105"/>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076"/>
      <c r="AK31" s="1076"/>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3" t="s">
        <v>100</v>
      </c>
      <c r="D33" s="1214"/>
      <c r="E33" s="1214"/>
      <c r="F33" s="1214"/>
      <c r="G33" s="1214"/>
      <c r="H33" s="1214"/>
      <c r="I33" s="1214"/>
      <c r="J33" s="1214"/>
      <c r="K33" s="1214"/>
      <c r="L33" s="1214"/>
      <c r="M33" s="1214"/>
      <c r="N33" s="1214"/>
      <c r="O33" s="1214"/>
      <c r="P33" s="1214"/>
      <c r="Q33" s="1214"/>
      <c r="R33" s="1214"/>
      <c r="S33" s="1214"/>
      <c r="T33" s="1214"/>
      <c r="U33" s="1214"/>
      <c r="V33" s="1214"/>
      <c r="W33" s="1214"/>
      <c r="X33" s="1214"/>
      <c r="Y33" s="1214"/>
      <c r="Z33" s="1214"/>
      <c r="AA33" s="1214"/>
      <c r="AB33" s="1214"/>
      <c r="AC33" s="1214"/>
      <c r="AD33" s="1214"/>
      <c r="AE33" s="1214"/>
      <c r="AF33" s="1214"/>
      <c r="AG33" s="1214"/>
      <c r="AH33" s="1214"/>
      <c r="AI33" s="1214"/>
      <c r="AJ33" s="1214"/>
      <c r="AK33" s="1214"/>
      <c r="AL33" s="1214"/>
      <c r="AM33" s="1215"/>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21"/>
      <c r="P34" s="1221"/>
      <c r="Q34" s="1221"/>
      <c r="R34" s="1221"/>
      <c r="S34" s="1221"/>
      <c r="T34" s="6"/>
      <c r="U34" s="6"/>
      <c r="V34" s="21" t="s">
        <v>105</v>
      </c>
      <c r="W34" s="6"/>
      <c r="X34" s="117"/>
      <c r="Y34" s="117"/>
      <c r="Z34" s="117"/>
      <c r="AA34" s="117"/>
      <c r="AB34" s="132"/>
      <c r="AC34" s="427"/>
      <c r="AD34" s="138"/>
      <c r="AE34" s="138"/>
      <c r="AF34" s="138"/>
      <c r="AG34" s="1208"/>
      <c r="AH34" s="1208"/>
      <c r="AI34" s="1208"/>
      <c r="AJ34" s="1208"/>
      <c r="AK34" s="1208"/>
      <c r="AL34" s="21"/>
      <c r="AM34" s="6"/>
      <c r="AN34" s="189"/>
      <c r="AP34" s="584"/>
      <c r="AQ34" s="586"/>
      <c r="AR34" s="584"/>
    </row>
    <row r="35" spans="1:44" x14ac:dyDescent="0.2">
      <c r="A35" s="107">
        <f t="shared" si="0"/>
        <v>31</v>
      </c>
      <c r="B35" s="167"/>
      <c r="C35" s="6"/>
      <c r="D35" s="6" t="s">
        <v>103</v>
      </c>
      <c r="E35" s="6"/>
      <c r="F35" s="6"/>
      <c r="G35" s="6"/>
      <c r="H35" s="21"/>
      <c r="I35" s="20" t="s">
        <v>140</v>
      </c>
      <c r="J35" s="1047"/>
      <c r="K35" s="1047"/>
      <c r="L35" s="1047"/>
      <c r="M35" s="1047"/>
      <c r="N35" s="128"/>
      <c r="O35" s="1203"/>
      <c r="P35" s="1203"/>
      <c r="Q35" s="1203"/>
      <c r="R35" s="1203"/>
      <c r="S35" s="1203"/>
      <c r="T35" s="6"/>
      <c r="U35" s="6"/>
      <c r="V35" s="21" t="s">
        <v>107</v>
      </c>
      <c r="W35" s="6"/>
      <c r="X35" s="117"/>
      <c r="Y35" s="117"/>
      <c r="Z35" s="117"/>
      <c r="AA35" s="117"/>
      <c r="AB35" s="122"/>
      <c r="AC35" s="371"/>
      <c r="AD35" s="128"/>
      <c r="AE35" s="128"/>
      <c r="AF35" s="128"/>
      <c r="AG35" s="1203"/>
      <c r="AH35" s="1203"/>
      <c r="AI35" s="1203"/>
      <c r="AJ35" s="1203"/>
      <c r="AK35" s="1203"/>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03"/>
      <c r="P36" s="1203"/>
      <c r="Q36" s="1203"/>
      <c r="R36" s="1203"/>
      <c r="S36" s="1203"/>
      <c r="T36" s="6"/>
      <c r="U36" s="6"/>
      <c r="V36" s="21" t="s">
        <v>109</v>
      </c>
      <c r="W36" s="6"/>
      <c r="X36" s="117"/>
      <c r="Y36" s="117"/>
      <c r="Z36" s="117"/>
      <c r="AA36" s="117"/>
      <c r="AB36" s="122"/>
      <c r="AC36" s="371"/>
      <c r="AD36" s="128"/>
      <c r="AE36" s="128"/>
      <c r="AF36" s="128"/>
      <c r="AG36" s="1203"/>
      <c r="AH36" s="1203"/>
      <c r="AI36" s="1203"/>
      <c r="AJ36" s="1203"/>
      <c r="AK36" s="1203"/>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03"/>
      <c r="P37" s="1203"/>
      <c r="Q37" s="1203"/>
      <c r="R37" s="1203"/>
      <c r="S37" s="1203"/>
      <c r="T37" s="6"/>
      <c r="U37" s="6"/>
      <c r="V37" s="373" t="str">
        <f>IF(Page3!I5="VS4","DISCHARGE PIPE :",IF(Page3!I5="VS5","DISCHARGE PIPE :","DISCHARGE COLUMN :"))</f>
        <v>DISCHARGE COLUMN :</v>
      </c>
      <c r="W37" s="6"/>
      <c r="X37" s="122"/>
      <c r="Y37" s="122"/>
      <c r="Z37" s="122"/>
      <c r="AA37" s="122"/>
      <c r="AB37" s="122"/>
      <c r="AC37" s="371"/>
      <c r="AD37" s="128"/>
      <c r="AE37" s="128"/>
      <c r="AF37" s="128"/>
      <c r="AG37" s="1203"/>
      <c r="AH37" s="1203"/>
      <c r="AI37" s="1203"/>
      <c r="AJ37" s="1203"/>
      <c r="AK37" s="1203"/>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03"/>
      <c r="P38" s="1203"/>
      <c r="Q38" s="1203"/>
      <c r="R38" s="1203"/>
      <c r="S38" s="1203"/>
      <c r="T38" s="6"/>
      <c r="U38" s="6"/>
      <c r="V38" s="119" t="s">
        <v>113</v>
      </c>
      <c r="W38" s="36"/>
      <c r="X38" s="36"/>
      <c r="Y38" s="36"/>
      <c r="Z38" s="36"/>
      <c r="AA38" s="36"/>
      <c r="AB38" s="36"/>
      <c r="AC38" s="36"/>
      <c r="AD38" s="36"/>
      <c r="AE38" s="36"/>
      <c r="AF38" s="36"/>
      <c r="AG38" s="1205" t="s">
        <v>114</v>
      </c>
      <c r="AH38" s="1205"/>
      <c r="AI38" s="36"/>
      <c r="AJ38" s="1205" t="s">
        <v>200</v>
      </c>
      <c r="AK38" s="1205"/>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03"/>
      <c r="P39" s="1203"/>
      <c r="Q39" s="1203"/>
      <c r="R39" s="1203"/>
      <c r="S39" s="1203"/>
      <c r="T39" s="6"/>
      <c r="U39" s="6"/>
      <c r="V39" s="6" t="s">
        <v>115</v>
      </c>
      <c r="W39" s="6"/>
      <c r="X39" s="117"/>
      <c r="Y39" s="117"/>
      <c r="Z39" s="117"/>
      <c r="AA39" s="117"/>
      <c r="AB39" s="117"/>
      <c r="AC39" s="128"/>
      <c r="AD39" s="36"/>
      <c r="AE39" s="36"/>
      <c r="AF39" s="128"/>
      <c r="AG39" s="1204"/>
      <c r="AH39" s="1204"/>
      <c r="AI39" s="36"/>
      <c r="AJ39" s="1075"/>
      <c r="AK39" s="1075"/>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03"/>
      <c r="P40" s="1203"/>
      <c r="Q40" s="1203"/>
      <c r="R40" s="1203"/>
      <c r="S40" s="1203"/>
      <c r="T40" s="6"/>
      <c r="U40" s="6"/>
      <c r="V40" s="6" t="s">
        <v>116</v>
      </c>
      <c r="W40" s="6"/>
      <c r="X40" s="117"/>
      <c r="Y40" s="117"/>
      <c r="Z40" s="117"/>
      <c r="AA40" s="117"/>
      <c r="AB40" s="117"/>
      <c r="AC40" s="128"/>
      <c r="AD40" s="36"/>
      <c r="AE40" s="36"/>
      <c r="AF40" s="128"/>
      <c r="AG40" s="1204"/>
      <c r="AH40" s="1204"/>
      <c r="AI40" s="36"/>
      <c r="AJ40" s="1075"/>
      <c r="AK40" s="1075"/>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03"/>
      <c r="P41" s="1203"/>
      <c r="Q41" s="1203"/>
      <c r="R41" s="1203"/>
      <c r="S41" s="1203"/>
      <c r="T41" s="6"/>
      <c r="U41" s="6"/>
      <c r="V41" s="6" t="s">
        <v>117</v>
      </c>
      <c r="W41" s="6"/>
      <c r="X41" s="117"/>
      <c r="Y41" s="117"/>
      <c r="Z41" s="117"/>
      <c r="AA41" s="117"/>
      <c r="AB41" s="117"/>
      <c r="AC41" s="128"/>
      <c r="AD41" s="36"/>
      <c r="AE41" s="36"/>
      <c r="AF41" s="128"/>
      <c r="AG41" s="1204"/>
      <c r="AH41" s="1204"/>
      <c r="AI41" s="36"/>
      <c r="AJ41" s="1075"/>
      <c r="AK41" s="1075"/>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09" t="s">
        <v>111</v>
      </c>
      <c r="D43" s="1210"/>
      <c r="E43" s="1210"/>
      <c r="F43" s="1210"/>
      <c r="G43" s="1210"/>
      <c r="H43" s="1210"/>
      <c r="I43" s="1210"/>
      <c r="J43" s="1210"/>
      <c r="K43" s="1210"/>
      <c r="L43" s="1210"/>
      <c r="M43" s="1210"/>
      <c r="N43" s="1210"/>
      <c r="O43" s="1210"/>
      <c r="P43" s="1210"/>
      <c r="Q43" s="1210"/>
      <c r="R43" s="1210"/>
      <c r="S43" s="1210"/>
      <c r="T43" s="1210"/>
      <c r="U43" s="1210"/>
      <c r="V43" s="1210"/>
      <c r="W43" s="1210"/>
      <c r="X43" s="1210"/>
      <c r="Y43" s="1210"/>
      <c r="Z43" s="1210"/>
      <c r="AA43" s="1210"/>
      <c r="AB43" s="1210"/>
      <c r="AC43" s="1210"/>
      <c r="AD43" s="1210"/>
      <c r="AE43" s="1210"/>
      <c r="AF43" s="1210"/>
      <c r="AG43" s="1210"/>
      <c r="AH43" s="1210"/>
      <c r="AI43" s="1210"/>
      <c r="AJ43" s="1210"/>
      <c r="AK43" s="1210"/>
      <c r="AL43" s="1210"/>
      <c r="AM43" s="1211"/>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02"/>
      <c r="S45" s="1202"/>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02"/>
      <c r="S46" s="1202"/>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02"/>
      <c r="S47" s="1202"/>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02"/>
      <c r="S48" s="1202"/>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02"/>
      <c r="S49" s="1202"/>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02"/>
      <c r="S50" s="1202"/>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02"/>
      <c r="S51" s="1202"/>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02"/>
      <c r="S52" s="1202"/>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02"/>
      <c r="S53" s="1202"/>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02"/>
      <c r="S54" s="1202"/>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2"/>
      <c r="K57" s="1212"/>
      <c r="L57" s="1212"/>
      <c r="M57" s="374"/>
      <c r="N57" s="21"/>
      <c r="O57" s="126"/>
      <c r="P57" s="21"/>
      <c r="Q57" s="582"/>
      <c r="R57" s="1212"/>
      <c r="S57" s="1212"/>
      <c r="T57" s="1212"/>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2"/>
      <c r="K58" s="1212"/>
      <c r="L58" s="1212"/>
      <c r="M58" s="374"/>
      <c r="N58" s="247"/>
      <c r="O58" s="247"/>
      <c r="P58" s="247"/>
      <c r="Q58" s="582"/>
      <c r="R58" s="1212"/>
      <c r="S58" s="1212"/>
      <c r="T58" s="1212"/>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2"/>
      <c r="K59" s="1212"/>
      <c r="L59" s="1212"/>
      <c r="M59" s="374"/>
      <c r="N59" s="247"/>
      <c r="O59" s="247"/>
      <c r="P59" s="247"/>
      <c r="Q59" s="582"/>
      <c r="R59" s="1212"/>
      <c r="S59" s="1212"/>
      <c r="T59" s="1212"/>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45"/>
      <c r="J64" s="1145"/>
      <c r="K64" s="1145"/>
      <c r="L64" s="1145"/>
      <c r="M64" s="1145"/>
      <c r="N64" s="1145"/>
      <c r="O64" s="1145"/>
      <c r="P64" s="1145"/>
      <c r="Q64" s="1145"/>
      <c r="R64" s="1145"/>
      <c r="S64" s="1145"/>
      <c r="T64" s="1145"/>
      <c r="U64" s="112"/>
      <c r="V64" s="112"/>
      <c r="W64" s="111" t="s">
        <v>48</v>
      </c>
      <c r="X64" s="111"/>
      <c r="Y64" s="1109"/>
      <c r="Z64" s="1109"/>
      <c r="AA64" s="112"/>
      <c r="AB64" s="112"/>
      <c r="AC64" s="112"/>
      <c r="AD64" s="112"/>
      <c r="AE64" s="291" t="s">
        <v>272</v>
      </c>
      <c r="AF64" s="291"/>
      <c r="AG64" s="291"/>
      <c r="AH64" s="1108"/>
      <c r="AI64" s="1108"/>
      <c r="AJ64" s="291" t="s">
        <v>269</v>
      </c>
      <c r="AK64" s="1096" t="str">
        <f>IF(C_PageNo_Total=0,"",C_PageNo_Total)</f>
        <v/>
      </c>
      <c r="AL64" s="1096"/>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083" t="s">
        <v>540</v>
      </c>
      <c r="D4" s="1124"/>
      <c r="E4" s="1124"/>
      <c r="F4" s="1124"/>
      <c r="G4" s="1124"/>
      <c r="H4" s="1124"/>
      <c r="I4" s="1124"/>
      <c r="J4" s="1124"/>
      <c r="K4" s="1124"/>
      <c r="L4" s="1124"/>
      <c r="M4" s="1124"/>
      <c r="N4" s="1124"/>
      <c r="O4" s="1124"/>
      <c r="P4" s="1124"/>
      <c r="Q4" s="1124"/>
      <c r="R4" s="1124"/>
      <c r="S4" s="1124"/>
      <c r="T4" s="1124"/>
      <c r="U4" s="1124"/>
      <c r="V4" s="1124"/>
      <c r="W4" s="1124"/>
      <c r="X4" s="1124"/>
      <c r="Y4" s="1124"/>
      <c r="Z4" s="1124"/>
      <c r="AA4" s="1124"/>
      <c r="AB4" s="1124"/>
      <c r="AC4" s="1124"/>
      <c r="AD4" s="1124"/>
      <c r="AE4" s="1124"/>
      <c r="AF4" s="1124"/>
      <c r="AG4" s="1124"/>
      <c r="AH4" s="1124"/>
      <c r="AI4" s="1124"/>
      <c r="AJ4" s="1124"/>
      <c r="AK4" s="1124"/>
      <c r="AL4" s="1124"/>
      <c r="AM4" s="1125"/>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1049"/>
      <c r="AK6" s="1049"/>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1049"/>
      <c r="AK7" s="1049"/>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083" t="s">
        <v>698</v>
      </c>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5"/>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1049"/>
      <c r="AK11" s="1049"/>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1049"/>
      <c r="AE12" s="1049"/>
      <c r="AF12" s="1049"/>
      <c r="AG12" s="1049"/>
      <c r="AH12" s="1049"/>
      <c r="AI12" s="1049"/>
      <c r="AJ12" s="1049"/>
      <c r="AK12" s="1049"/>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38"/>
      <c r="AE13" s="1238"/>
      <c r="AF13" s="1238"/>
      <c r="AG13" s="1238"/>
      <c r="AH13" s="1238"/>
      <c r="AI13" s="1238"/>
      <c r="AJ13" s="1238"/>
      <c r="AK13" s="1238"/>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38"/>
      <c r="AE14" s="1238"/>
      <c r="AF14" s="1238"/>
      <c r="AG14" s="1238"/>
      <c r="AH14" s="1238"/>
      <c r="AI14" s="1238"/>
      <c r="AJ14" s="1238"/>
      <c r="AK14" s="1238"/>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38"/>
      <c r="AE15" s="1238"/>
      <c r="AF15" s="1238"/>
      <c r="AG15" s="1238"/>
      <c r="AH15" s="1238"/>
      <c r="AI15" s="1238"/>
      <c r="AJ15" s="1238"/>
      <c r="AK15" s="1238"/>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38"/>
      <c r="AE16" s="1238"/>
      <c r="AF16" s="1238"/>
      <c r="AG16" s="1238"/>
      <c r="AH16" s="1238"/>
      <c r="AI16" s="1238"/>
      <c r="AJ16" s="1238"/>
      <c r="AK16" s="1238"/>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38"/>
      <c r="AE17" s="1238"/>
      <c r="AF17" s="1238"/>
      <c r="AG17" s="1238"/>
      <c r="AH17" s="1238"/>
      <c r="AI17" s="1238"/>
      <c r="AJ17" s="1238"/>
      <c r="AK17" s="1238"/>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38"/>
      <c r="AE18" s="1238"/>
      <c r="AF18" s="1238"/>
      <c r="AG18" s="1238"/>
      <c r="AH18" s="1238"/>
      <c r="AI18" s="1238"/>
      <c r="AJ18" s="1238"/>
      <c r="AK18" s="1238"/>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083" t="s">
        <v>700</v>
      </c>
      <c r="D20" s="1124"/>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5"/>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102"/>
      <c r="AK21" s="1102"/>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9" t="s">
        <v>558</v>
      </c>
      <c r="E23" s="1229"/>
      <c r="F23" s="1229"/>
      <c r="G23" s="1229"/>
      <c r="H23" s="1229"/>
      <c r="I23" s="1229"/>
      <c r="J23" s="1229"/>
      <c r="K23" s="1229"/>
      <c r="L23" s="1229"/>
      <c r="M23" s="1229"/>
      <c r="N23" s="1229" t="s">
        <v>534</v>
      </c>
      <c r="O23" s="1229"/>
      <c r="P23" s="1229"/>
      <c r="Q23" s="1229"/>
      <c r="R23" s="1229"/>
      <c r="S23" s="1229"/>
      <c r="T23" s="1229"/>
      <c r="U23" s="1229"/>
      <c r="V23" s="1229" t="s">
        <v>542</v>
      </c>
      <c r="W23" s="1229"/>
      <c r="X23" s="1229"/>
      <c r="Y23" s="1229"/>
      <c r="Z23" s="1229"/>
      <c r="AA23" s="1229"/>
      <c r="AB23" s="1229"/>
      <c r="AC23" s="1229"/>
      <c r="AD23" s="1229" t="s">
        <v>543</v>
      </c>
      <c r="AE23" s="1229"/>
      <c r="AF23" s="1229"/>
      <c r="AG23" s="1229"/>
      <c r="AH23" s="1229"/>
      <c r="AI23" s="1229"/>
      <c r="AJ23" s="1229"/>
      <c r="AK23" s="1229"/>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35"/>
      <c r="O24" s="1236"/>
      <c r="P24" s="1236"/>
      <c r="Q24" s="1236"/>
      <c r="R24" s="1236"/>
      <c r="S24" s="1236"/>
      <c r="T24" s="1236"/>
      <c r="U24" s="1237"/>
      <c r="V24" s="1235"/>
      <c r="W24" s="1236"/>
      <c r="X24" s="1236"/>
      <c r="Y24" s="1236"/>
      <c r="Z24" s="1236"/>
      <c r="AA24" s="1236"/>
      <c r="AB24" s="1236"/>
      <c r="AC24" s="1237"/>
      <c r="AD24" s="1235"/>
      <c r="AE24" s="1236"/>
      <c r="AF24" s="1236"/>
      <c r="AG24" s="1236"/>
      <c r="AH24" s="1236"/>
      <c r="AI24" s="1236"/>
      <c r="AJ24" s="1236"/>
      <c r="AK24" s="1237"/>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0"/>
      <c r="O25" s="1065"/>
      <c r="P25" s="1065"/>
      <c r="Q25" s="1065"/>
      <c r="R25" s="1065"/>
      <c r="S25" s="1065"/>
      <c r="T25" s="1065"/>
      <c r="U25" s="1231"/>
      <c r="V25" s="1230"/>
      <c r="W25" s="1065"/>
      <c r="X25" s="1065"/>
      <c r="Y25" s="1065"/>
      <c r="Z25" s="1065"/>
      <c r="AA25" s="1065"/>
      <c r="AB25" s="1065"/>
      <c r="AC25" s="1231"/>
      <c r="AD25" s="1230"/>
      <c r="AE25" s="1065"/>
      <c r="AF25" s="1065"/>
      <c r="AG25" s="1065"/>
      <c r="AH25" s="1065"/>
      <c r="AI25" s="1065"/>
      <c r="AJ25" s="1065"/>
      <c r="AK25" s="1231"/>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0"/>
      <c r="O26" s="1065"/>
      <c r="P26" s="1065"/>
      <c r="Q26" s="1065"/>
      <c r="R26" s="1065"/>
      <c r="S26" s="1065"/>
      <c r="T26" s="1065"/>
      <c r="U26" s="1231"/>
      <c r="V26" s="1230"/>
      <c r="W26" s="1065"/>
      <c r="X26" s="1065"/>
      <c r="Y26" s="1065"/>
      <c r="Z26" s="1065"/>
      <c r="AA26" s="1065"/>
      <c r="AB26" s="1065"/>
      <c r="AC26" s="1231"/>
      <c r="AD26" s="1230"/>
      <c r="AE26" s="1065"/>
      <c r="AF26" s="1065"/>
      <c r="AG26" s="1065"/>
      <c r="AH26" s="1065"/>
      <c r="AI26" s="1065"/>
      <c r="AJ26" s="1065"/>
      <c r="AK26" s="1231"/>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0"/>
      <c r="O27" s="1065"/>
      <c r="P27" s="1065"/>
      <c r="Q27" s="1065"/>
      <c r="R27" s="1065"/>
      <c r="S27" s="1065"/>
      <c r="T27" s="1065"/>
      <c r="U27" s="1231"/>
      <c r="V27" s="1230"/>
      <c r="W27" s="1065"/>
      <c r="X27" s="1065"/>
      <c r="Y27" s="1065"/>
      <c r="Z27" s="1065"/>
      <c r="AA27" s="1065"/>
      <c r="AB27" s="1065"/>
      <c r="AC27" s="1231"/>
      <c r="AD27" s="1230"/>
      <c r="AE27" s="1065"/>
      <c r="AF27" s="1065"/>
      <c r="AG27" s="1065"/>
      <c r="AH27" s="1065"/>
      <c r="AI27" s="1065"/>
      <c r="AJ27" s="1065"/>
      <c r="AK27" s="1231"/>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2"/>
      <c r="O28" s="1233"/>
      <c r="P28" s="1233"/>
      <c r="Q28" s="1233"/>
      <c r="R28" s="1233"/>
      <c r="S28" s="1233"/>
      <c r="T28" s="1233"/>
      <c r="U28" s="1234"/>
      <c r="V28" s="1232"/>
      <c r="W28" s="1233"/>
      <c r="X28" s="1233"/>
      <c r="Y28" s="1233"/>
      <c r="Z28" s="1233"/>
      <c r="AA28" s="1233"/>
      <c r="AB28" s="1233"/>
      <c r="AC28" s="1234"/>
      <c r="AD28" s="1232"/>
      <c r="AE28" s="1233"/>
      <c r="AF28" s="1233"/>
      <c r="AG28" s="1233"/>
      <c r="AH28" s="1233"/>
      <c r="AI28" s="1233"/>
      <c r="AJ28" s="1233"/>
      <c r="AK28" s="1234"/>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27"/>
      <c r="E31" s="1227"/>
      <c r="F31" s="1227"/>
      <c r="G31" s="1227"/>
      <c r="H31" s="1227"/>
      <c r="I31" s="1227"/>
      <c r="J31" s="1227"/>
      <c r="K31" s="1227"/>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452"/>
      <c r="AM31" s="116"/>
      <c r="AN31" s="189"/>
      <c r="AP31" s="476"/>
      <c r="AQ31" s="472"/>
      <c r="AR31" s="473"/>
      <c r="AS31" s="473"/>
    </row>
    <row r="32" spans="1:49" x14ac:dyDescent="0.2">
      <c r="A32" s="140">
        <f t="shared" si="0"/>
        <v>28</v>
      </c>
      <c r="B32" s="167"/>
      <c r="C32" s="502"/>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452"/>
      <c r="AM32" s="15"/>
      <c r="AN32" s="189"/>
      <c r="AP32" s="476"/>
      <c r="AQ32" s="472"/>
      <c r="AR32" s="473"/>
      <c r="AS32" s="473"/>
    </row>
    <row r="33" spans="1:45" ht="13.35" customHeight="1" x14ac:dyDescent="0.2">
      <c r="A33" s="140">
        <f t="shared" si="0"/>
        <v>29</v>
      </c>
      <c r="B33" s="167"/>
      <c r="C33" s="522"/>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452"/>
      <c r="AM33" s="15"/>
      <c r="AN33" s="189"/>
      <c r="AP33" s="527"/>
      <c r="AQ33" s="472"/>
      <c r="AR33" s="473"/>
      <c r="AS33" s="473"/>
    </row>
    <row r="34" spans="1:45" x14ac:dyDescent="0.2">
      <c r="A34" s="140">
        <f t="shared" si="0"/>
        <v>30</v>
      </c>
      <c r="B34" s="167"/>
      <c r="C34" s="523"/>
      <c r="D34" s="1227"/>
      <c r="E34" s="1227"/>
      <c r="F34" s="1227"/>
      <c r="G34" s="1227"/>
      <c r="H34" s="1227"/>
      <c r="I34" s="1227"/>
      <c r="J34" s="1227"/>
      <c r="K34" s="1227"/>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452"/>
      <c r="AM34" s="15"/>
      <c r="AN34" s="189"/>
      <c r="AP34" s="489"/>
      <c r="AQ34" s="472"/>
      <c r="AR34" s="473"/>
      <c r="AS34" s="473"/>
    </row>
    <row r="35" spans="1:45" x14ac:dyDescent="0.2">
      <c r="A35" s="140">
        <f t="shared" si="0"/>
        <v>31</v>
      </c>
      <c r="B35" s="167"/>
      <c r="C35" s="524"/>
      <c r="D35" s="1227"/>
      <c r="E35" s="1227"/>
      <c r="F35" s="1227"/>
      <c r="G35" s="1227"/>
      <c r="H35" s="1227"/>
      <c r="I35" s="1227"/>
      <c r="J35" s="1227"/>
      <c r="K35" s="1227"/>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452"/>
      <c r="AM35" s="15"/>
      <c r="AN35" s="189"/>
      <c r="AP35" s="489"/>
      <c r="AQ35" s="472"/>
      <c r="AR35" s="473"/>
      <c r="AS35" s="473"/>
    </row>
    <row r="36" spans="1:45" x14ac:dyDescent="0.2">
      <c r="A36" s="140">
        <f t="shared" si="0"/>
        <v>32</v>
      </c>
      <c r="B36" s="167"/>
      <c r="C36" s="524"/>
      <c r="D36" s="1227"/>
      <c r="E36" s="1227"/>
      <c r="F36" s="1227"/>
      <c r="G36" s="1227"/>
      <c r="H36" s="1227"/>
      <c r="I36" s="1227"/>
      <c r="J36" s="1227"/>
      <c r="K36" s="1227"/>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452"/>
      <c r="AM36" s="15"/>
      <c r="AN36" s="189"/>
      <c r="AP36" s="467"/>
      <c r="AQ36" s="472"/>
      <c r="AR36" s="473"/>
      <c r="AS36" s="473"/>
    </row>
    <row r="37" spans="1:45" x14ac:dyDescent="0.2">
      <c r="A37" s="140">
        <f t="shared" si="0"/>
        <v>33</v>
      </c>
      <c r="B37" s="167"/>
      <c r="C37" s="524"/>
      <c r="D37" s="1227"/>
      <c r="E37" s="1227"/>
      <c r="F37" s="1227"/>
      <c r="G37" s="1227"/>
      <c r="H37" s="1227"/>
      <c r="I37" s="1227"/>
      <c r="J37" s="1227"/>
      <c r="K37" s="1227"/>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452"/>
      <c r="AM37" s="15"/>
      <c r="AN37" s="189"/>
      <c r="AP37" s="473"/>
      <c r="AQ37" s="472"/>
      <c r="AR37" s="473"/>
      <c r="AS37" s="473"/>
    </row>
    <row r="38" spans="1:45" x14ac:dyDescent="0.2">
      <c r="A38" s="140">
        <f t="shared" si="0"/>
        <v>34</v>
      </c>
      <c r="B38" s="167"/>
      <c r="C38" s="447"/>
      <c r="D38" s="1227"/>
      <c r="E38" s="1227"/>
      <c r="F38" s="1227"/>
      <c r="G38" s="1227"/>
      <c r="H38" s="1227"/>
      <c r="I38" s="1227"/>
      <c r="J38" s="1227"/>
      <c r="K38" s="1227"/>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452"/>
      <c r="AM38" s="15"/>
      <c r="AN38" s="189"/>
      <c r="AP38" s="473"/>
      <c r="AQ38" s="472"/>
      <c r="AR38" s="473"/>
      <c r="AS38" s="473"/>
    </row>
    <row r="39" spans="1:45" x14ac:dyDescent="0.2">
      <c r="A39" s="140">
        <f t="shared" si="0"/>
        <v>35</v>
      </c>
      <c r="B39" s="167"/>
      <c r="C39" s="520"/>
      <c r="D39" s="1227"/>
      <c r="E39" s="1227"/>
      <c r="F39" s="1227"/>
      <c r="G39" s="1227"/>
      <c r="H39" s="1227"/>
      <c r="I39" s="1227"/>
      <c r="J39" s="1227"/>
      <c r="K39" s="1227"/>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452"/>
      <c r="AM39" s="15"/>
      <c r="AN39" s="189"/>
      <c r="AP39" s="473"/>
      <c r="AQ39" s="472"/>
      <c r="AR39" s="473"/>
      <c r="AS39" s="473"/>
    </row>
    <row r="40" spans="1:45" x14ac:dyDescent="0.2">
      <c r="A40" s="140">
        <f t="shared" si="0"/>
        <v>36</v>
      </c>
      <c r="B40" s="167"/>
      <c r="C40" s="417"/>
      <c r="D40" s="1227"/>
      <c r="E40" s="1227"/>
      <c r="F40" s="1227"/>
      <c r="G40" s="1227"/>
      <c r="H40" s="1227"/>
      <c r="I40" s="1227"/>
      <c r="J40" s="1227"/>
      <c r="K40" s="1227"/>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452"/>
      <c r="AM40" s="15"/>
      <c r="AN40" s="189"/>
      <c r="AP40" s="473"/>
      <c r="AQ40" s="472"/>
      <c r="AR40" s="472"/>
      <c r="AS40" s="473"/>
    </row>
    <row r="41" spans="1:45" x14ac:dyDescent="0.2">
      <c r="A41" s="140">
        <f t="shared" si="0"/>
        <v>37</v>
      </c>
      <c r="B41" s="167"/>
      <c r="C41" s="417"/>
      <c r="D41" s="1227"/>
      <c r="E41" s="1227"/>
      <c r="F41" s="1227"/>
      <c r="G41" s="1227"/>
      <c r="H41" s="1227"/>
      <c r="I41" s="1227"/>
      <c r="J41" s="1227"/>
      <c r="K41" s="1227"/>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452"/>
      <c r="AM41" s="103"/>
      <c r="AN41" s="189"/>
      <c r="AP41" s="473"/>
      <c r="AQ41" s="472"/>
      <c r="AR41" s="473"/>
      <c r="AS41" s="473"/>
    </row>
    <row r="42" spans="1:45" x14ac:dyDescent="0.2">
      <c r="A42" s="140">
        <f t="shared" si="0"/>
        <v>38</v>
      </c>
      <c r="B42" s="167"/>
      <c r="C42" s="447"/>
      <c r="D42" s="1227"/>
      <c r="E42" s="1227"/>
      <c r="F42" s="1227"/>
      <c r="G42" s="1227"/>
      <c r="H42" s="1227"/>
      <c r="I42" s="1227"/>
      <c r="J42" s="1227"/>
      <c r="K42" s="1227"/>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452"/>
      <c r="AM42" s="103"/>
      <c r="AN42" s="189"/>
      <c r="AP42" s="473"/>
      <c r="AQ42" s="472"/>
      <c r="AR42" s="473"/>
      <c r="AS42" s="473"/>
    </row>
    <row r="43" spans="1:45" x14ac:dyDescent="0.2">
      <c r="A43" s="140">
        <f t="shared" si="0"/>
        <v>39</v>
      </c>
      <c r="B43" s="167"/>
      <c r="C43" s="447"/>
      <c r="D43" s="1227"/>
      <c r="E43" s="1227"/>
      <c r="F43" s="1227"/>
      <c r="G43" s="1227"/>
      <c r="H43" s="1227"/>
      <c r="I43" s="1227"/>
      <c r="J43" s="1227"/>
      <c r="K43" s="1227"/>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452"/>
      <c r="AM43" s="432"/>
      <c r="AN43" s="189"/>
      <c r="AP43" s="467"/>
      <c r="AQ43" s="472"/>
      <c r="AR43" s="473"/>
      <c r="AS43" s="473"/>
    </row>
    <row r="44" spans="1:45" x14ac:dyDescent="0.2">
      <c r="A44" s="140">
        <f t="shared" si="0"/>
        <v>40</v>
      </c>
      <c r="B44" s="167"/>
      <c r="C44" s="447"/>
      <c r="D44" s="1227"/>
      <c r="E44" s="1227"/>
      <c r="F44" s="1227"/>
      <c r="G44" s="1227"/>
      <c r="H44" s="1227"/>
      <c r="I44" s="1227"/>
      <c r="J44" s="1227"/>
      <c r="K44" s="1227"/>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452"/>
      <c r="AM44" s="432"/>
      <c r="AN44" s="189"/>
    </row>
    <row r="45" spans="1:45" x14ac:dyDescent="0.2">
      <c r="A45" s="140">
        <f t="shared" si="0"/>
        <v>41</v>
      </c>
      <c r="B45" s="167"/>
      <c r="C45" s="417"/>
      <c r="D45" s="1227"/>
      <c r="E45" s="1227"/>
      <c r="F45" s="1227"/>
      <c r="G45" s="1227"/>
      <c r="H45" s="1227"/>
      <c r="I45" s="1227"/>
      <c r="J45" s="1227"/>
      <c r="K45" s="1227"/>
      <c r="L45" s="1227"/>
      <c r="M45" s="1227"/>
      <c r="N45" s="1227"/>
      <c r="O45" s="1227"/>
      <c r="P45" s="1227"/>
      <c r="Q45" s="1227"/>
      <c r="R45" s="1227"/>
      <c r="S45" s="1227"/>
      <c r="T45" s="1227"/>
      <c r="U45" s="1227"/>
      <c r="V45" s="1227"/>
      <c r="W45" s="1227"/>
      <c r="X45" s="1227"/>
      <c r="Y45" s="1227"/>
      <c r="Z45" s="1227"/>
      <c r="AA45" s="1227"/>
      <c r="AB45" s="1227"/>
      <c r="AC45" s="1227"/>
      <c r="AD45" s="1227"/>
      <c r="AE45" s="1227"/>
      <c r="AF45" s="1227"/>
      <c r="AG45" s="1227"/>
      <c r="AH45" s="1227"/>
      <c r="AI45" s="1227"/>
      <c r="AJ45" s="1227"/>
      <c r="AK45" s="1227"/>
      <c r="AL45" s="452"/>
      <c r="AM45" s="432"/>
      <c r="AN45" s="189"/>
      <c r="AP45" s="473"/>
      <c r="AQ45" s="472"/>
      <c r="AR45" s="476"/>
      <c r="AS45" s="461"/>
    </row>
    <row r="46" spans="1:45" x14ac:dyDescent="0.2">
      <c r="A46" s="140">
        <f t="shared" si="0"/>
        <v>42</v>
      </c>
      <c r="B46" s="167"/>
      <c r="C46" s="525"/>
      <c r="D46" s="1227"/>
      <c r="E46" s="1227"/>
      <c r="F46" s="1227"/>
      <c r="G46" s="1227"/>
      <c r="H46" s="1227"/>
      <c r="I46" s="1227"/>
      <c r="J46" s="1227"/>
      <c r="K46" s="1227"/>
      <c r="L46" s="1227"/>
      <c r="M46" s="1227"/>
      <c r="N46" s="1227"/>
      <c r="O46" s="1227"/>
      <c r="P46" s="1227"/>
      <c r="Q46" s="1227"/>
      <c r="R46" s="1227"/>
      <c r="S46" s="1227"/>
      <c r="T46" s="1227"/>
      <c r="U46" s="1227"/>
      <c r="V46" s="1227"/>
      <c r="W46" s="1227"/>
      <c r="X46" s="1227"/>
      <c r="Y46" s="1227"/>
      <c r="Z46" s="1227"/>
      <c r="AA46" s="1227"/>
      <c r="AB46" s="1227"/>
      <c r="AC46" s="1227"/>
      <c r="AD46" s="1227"/>
      <c r="AE46" s="1227"/>
      <c r="AF46" s="1227"/>
      <c r="AG46" s="1227"/>
      <c r="AH46" s="1227"/>
      <c r="AI46" s="1227"/>
      <c r="AJ46" s="1227"/>
      <c r="AK46" s="1227"/>
      <c r="AL46" s="452"/>
      <c r="AM46" s="432"/>
      <c r="AN46" s="189"/>
      <c r="AP46" s="490"/>
      <c r="AQ46" s="473"/>
      <c r="AR46" s="476"/>
      <c r="AS46" s="461"/>
    </row>
    <row r="47" spans="1:45" s="23" customFormat="1" ht="13.35" customHeight="1" x14ac:dyDescent="0.2">
      <c r="A47" s="140">
        <f t="shared" si="0"/>
        <v>43</v>
      </c>
      <c r="B47" s="167"/>
      <c r="C47" s="447"/>
      <c r="D47" s="1227"/>
      <c r="E47" s="1227"/>
      <c r="F47" s="1227"/>
      <c r="G47" s="1227"/>
      <c r="H47" s="1227"/>
      <c r="I47" s="1227"/>
      <c r="J47" s="1227"/>
      <c r="K47" s="1227"/>
      <c r="L47" s="1227"/>
      <c r="M47" s="1227"/>
      <c r="N47" s="1227"/>
      <c r="O47" s="1227"/>
      <c r="P47" s="1227"/>
      <c r="Q47" s="1227"/>
      <c r="R47" s="1227"/>
      <c r="S47" s="1227"/>
      <c r="T47" s="1227"/>
      <c r="U47" s="1227"/>
      <c r="V47" s="1227"/>
      <c r="W47" s="1227"/>
      <c r="X47" s="1227"/>
      <c r="Y47" s="1227"/>
      <c r="Z47" s="1227"/>
      <c r="AA47" s="1227"/>
      <c r="AB47" s="1227"/>
      <c r="AC47" s="1227"/>
      <c r="AD47" s="1227"/>
      <c r="AE47" s="1227"/>
      <c r="AF47" s="1227"/>
      <c r="AG47" s="1227"/>
      <c r="AH47" s="1227"/>
      <c r="AI47" s="1227"/>
      <c r="AJ47" s="1227"/>
      <c r="AK47" s="1227"/>
      <c r="AL47" s="452"/>
      <c r="AM47" s="433"/>
      <c r="AN47" s="206"/>
      <c r="AP47" s="484"/>
      <c r="AQ47" s="472"/>
      <c r="AR47" s="473"/>
      <c r="AS47" s="461"/>
    </row>
    <row r="48" spans="1:45" x14ac:dyDescent="0.2">
      <c r="A48" s="140">
        <f t="shared" si="0"/>
        <v>44</v>
      </c>
      <c r="B48" s="167"/>
      <c r="C48" s="447"/>
      <c r="D48" s="1227"/>
      <c r="E48" s="1227"/>
      <c r="F48" s="1227"/>
      <c r="G48" s="1227"/>
      <c r="H48" s="1227"/>
      <c r="I48" s="1227"/>
      <c r="J48" s="1227"/>
      <c r="K48" s="1227"/>
      <c r="L48" s="1227"/>
      <c r="M48" s="1227"/>
      <c r="N48" s="1227"/>
      <c r="O48" s="1227"/>
      <c r="P48" s="1227"/>
      <c r="Q48" s="1227"/>
      <c r="R48" s="1227"/>
      <c r="S48" s="1227"/>
      <c r="T48" s="1227"/>
      <c r="U48" s="1227"/>
      <c r="V48" s="1227"/>
      <c r="W48" s="1227"/>
      <c r="X48" s="1227"/>
      <c r="Y48" s="1227"/>
      <c r="Z48" s="1227"/>
      <c r="AA48" s="1227"/>
      <c r="AB48" s="1227"/>
      <c r="AC48" s="1227"/>
      <c r="AD48" s="1227"/>
      <c r="AE48" s="1227"/>
      <c r="AF48" s="1227"/>
      <c r="AG48" s="1227"/>
      <c r="AH48" s="1227"/>
      <c r="AI48" s="1227"/>
      <c r="AJ48" s="1227"/>
      <c r="AK48" s="1227"/>
      <c r="AL48" s="452"/>
      <c r="AM48" s="432"/>
      <c r="AN48" s="189"/>
      <c r="AP48" s="484"/>
      <c r="AQ48" s="472"/>
      <c r="AR48" s="473"/>
      <c r="AS48" s="461"/>
    </row>
    <row r="49" spans="1:55" x14ac:dyDescent="0.2">
      <c r="A49" s="140">
        <f t="shared" si="0"/>
        <v>45</v>
      </c>
      <c r="B49" s="167"/>
      <c r="C49" s="417"/>
      <c r="D49" s="1228"/>
      <c r="E49" s="1227"/>
      <c r="F49" s="1227"/>
      <c r="G49" s="1227"/>
      <c r="H49" s="1227"/>
      <c r="I49" s="1227"/>
      <c r="J49" s="1227"/>
      <c r="K49" s="1227"/>
      <c r="L49" s="1227"/>
      <c r="M49" s="1227"/>
      <c r="N49" s="1227"/>
      <c r="O49" s="1227"/>
      <c r="P49" s="1227"/>
      <c r="Q49" s="1227"/>
      <c r="R49" s="1227"/>
      <c r="S49" s="1227"/>
      <c r="T49" s="1227"/>
      <c r="U49" s="1227"/>
      <c r="V49" s="1227"/>
      <c r="W49" s="1227"/>
      <c r="X49" s="1227"/>
      <c r="Y49" s="1227"/>
      <c r="Z49" s="1227"/>
      <c r="AA49" s="1227"/>
      <c r="AB49" s="1227"/>
      <c r="AC49" s="1227"/>
      <c r="AD49" s="1227"/>
      <c r="AE49" s="1227"/>
      <c r="AF49" s="1227"/>
      <c r="AG49" s="1227"/>
      <c r="AH49" s="1227"/>
      <c r="AI49" s="1227"/>
      <c r="AJ49" s="1227"/>
      <c r="AK49" s="1227"/>
      <c r="AL49" s="452"/>
      <c r="AM49" s="432"/>
      <c r="AN49" s="189"/>
      <c r="AP49" s="484"/>
      <c r="AQ49" s="472"/>
      <c r="AR49" s="473"/>
      <c r="AS49" s="461"/>
    </row>
    <row r="50" spans="1:55" x14ac:dyDescent="0.2">
      <c r="A50" s="140">
        <f t="shared" si="0"/>
        <v>46</v>
      </c>
      <c r="B50" s="167"/>
      <c r="C50" s="389"/>
      <c r="D50" s="1227"/>
      <c r="E50" s="1227"/>
      <c r="F50" s="1227"/>
      <c r="G50" s="1227"/>
      <c r="H50" s="1227"/>
      <c r="I50" s="1227"/>
      <c r="J50" s="1227"/>
      <c r="K50" s="1227"/>
      <c r="L50" s="1227"/>
      <c r="M50" s="1227"/>
      <c r="N50" s="1227"/>
      <c r="O50" s="1227"/>
      <c r="P50" s="1227"/>
      <c r="Q50" s="1227"/>
      <c r="R50" s="1227"/>
      <c r="S50" s="1227"/>
      <c r="T50" s="1227"/>
      <c r="U50" s="1227"/>
      <c r="V50" s="1227"/>
      <c r="W50" s="1227"/>
      <c r="X50" s="1227"/>
      <c r="Y50" s="1227"/>
      <c r="Z50" s="1227"/>
      <c r="AA50" s="1227"/>
      <c r="AB50" s="1227"/>
      <c r="AC50" s="1227"/>
      <c r="AD50" s="1227"/>
      <c r="AE50" s="1227"/>
      <c r="AF50" s="1227"/>
      <c r="AG50" s="1227"/>
      <c r="AH50" s="1227"/>
      <c r="AI50" s="1227"/>
      <c r="AJ50" s="1227"/>
      <c r="AK50" s="1227"/>
      <c r="AL50" s="452"/>
      <c r="AM50" s="432"/>
      <c r="AN50" s="189"/>
      <c r="AP50" s="484"/>
      <c r="AQ50" s="472"/>
      <c r="AR50" s="476"/>
      <c r="AS50" s="461"/>
    </row>
    <row r="51" spans="1:55" x14ac:dyDescent="0.2">
      <c r="A51" s="140">
        <f t="shared" si="0"/>
        <v>47</v>
      </c>
      <c r="B51" s="167"/>
      <c r="C51" s="447"/>
      <c r="D51" s="1227"/>
      <c r="E51" s="1227"/>
      <c r="F51" s="1227"/>
      <c r="G51" s="1227"/>
      <c r="H51" s="1227"/>
      <c r="I51" s="1227"/>
      <c r="J51" s="1227"/>
      <c r="K51" s="1227"/>
      <c r="L51" s="1227"/>
      <c r="M51" s="1227"/>
      <c r="N51" s="1227"/>
      <c r="O51" s="1227"/>
      <c r="P51" s="1227"/>
      <c r="Q51" s="1227"/>
      <c r="R51" s="1227"/>
      <c r="S51" s="1227"/>
      <c r="T51" s="1227"/>
      <c r="U51" s="1227"/>
      <c r="V51" s="1227"/>
      <c r="W51" s="1227"/>
      <c r="X51" s="1227"/>
      <c r="Y51" s="1227"/>
      <c r="Z51" s="1227"/>
      <c r="AA51" s="1227"/>
      <c r="AB51" s="1227"/>
      <c r="AC51" s="1227"/>
      <c r="AD51" s="1227"/>
      <c r="AE51" s="1227"/>
      <c r="AF51" s="1227"/>
      <c r="AG51" s="1227"/>
      <c r="AH51" s="1227"/>
      <c r="AI51" s="1227"/>
      <c r="AJ51" s="1227"/>
      <c r="AK51" s="1227"/>
      <c r="AL51" s="452"/>
      <c r="AM51" s="432"/>
      <c r="AN51" s="189"/>
      <c r="AP51" s="458"/>
      <c r="AQ51" s="459"/>
      <c r="AR51" s="461"/>
      <c r="AS51" s="461"/>
    </row>
    <row r="52" spans="1:55" x14ac:dyDescent="0.2">
      <c r="A52" s="140">
        <f t="shared" si="0"/>
        <v>48</v>
      </c>
      <c r="B52" s="167"/>
      <c r="C52" s="522"/>
      <c r="D52" s="1227"/>
      <c r="E52" s="1227"/>
      <c r="F52" s="1227"/>
      <c r="G52" s="1227"/>
      <c r="H52" s="1227"/>
      <c r="I52" s="1227"/>
      <c r="J52" s="1227"/>
      <c r="K52" s="1227"/>
      <c r="L52" s="1227"/>
      <c r="M52" s="1227"/>
      <c r="N52" s="1227"/>
      <c r="O52" s="1227"/>
      <c r="P52" s="1227"/>
      <c r="Q52" s="1227"/>
      <c r="R52" s="1227"/>
      <c r="S52" s="1227"/>
      <c r="T52" s="1227"/>
      <c r="U52" s="1227"/>
      <c r="V52" s="1227"/>
      <c r="W52" s="1227"/>
      <c r="X52" s="1227"/>
      <c r="Y52" s="1227"/>
      <c r="Z52" s="1227"/>
      <c r="AA52" s="1227"/>
      <c r="AB52" s="1227"/>
      <c r="AC52" s="1227"/>
      <c r="AD52" s="1227"/>
      <c r="AE52" s="1227"/>
      <c r="AF52" s="1227"/>
      <c r="AG52" s="1227"/>
      <c r="AH52" s="1227"/>
      <c r="AI52" s="1227"/>
      <c r="AJ52" s="1227"/>
      <c r="AK52" s="1227"/>
      <c r="AL52" s="452"/>
      <c r="AM52" s="432"/>
      <c r="AN52" s="189"/>
      <c r="AP52" s="459"/>
      <c r="AQ52" s="459"/>
      <c r="AR52" s="461"/>
      <c r="AS52" s="461"/>
    </row>
    <row r="53" spans="1:55" x14ac:dyDescent="0.2">
      <c r="A53" s="140">
        <f t="shared" si="0"/>
        <v>49</v>
      </c>
      <c r="B53" s="167"/>
      <c r="C53" s="525"/>
      <c r="D53" s="1227"/>
      <c r="E53" s="1227"/>
      <c r="F53" s="1227"/>
      <c r="G53" s="1227"/>
      <c r="H53" s="1227"/>
      <c r="I53" s="1227"/>
      <c r="J53" s="1227"/>
      <c r="K53" s="1227"/>
      <c r="L53" s="1227"/>
      <c r="M53" s="1227"/>
      <c r="N53" s="1227"/>
      <c r="O53" s="1227"/>
      <c r="P53" s="1227"/>
      <c r="Q53" s="1227"/>
      <c r="R53" s="1227"/>
      <c r="S53" s="1227"/>
      <c r="T53" s="1227"/>
      <c r="U53" s="1227"/>
      <c r="V53" s="1227"/>
      <c r="W53" s="1227"/>
      <c r="X53" s="1227"/>
      <c r="Y53" s="1227"/>
      <c r="Z53" s="1227"/>
      <c r="AA53" s="1227"/>
      <c r="AB53" s="1227"/>
      <c r="AC53" s="1227"/>
      <c r="AD53" s="1227"/>
      <c r="AE53" s="1227"/>
      <c r="AF53" s="1227"/>
      <c r="AG53" s="1227"/>
      <c r="AH53" s="1227"/>
      <c r="AI53" s="1227"/>
      <c r="AJ53" s="1227"/>
      <c r="AK53" s="122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27"/>
      <c r="E54" s="1227"/>
      <c r="F54" s="1227"/>
      <c r="G54" s="1227"/>
      <c r="H54" s="1227"/>
      <c r="I54" s="1227"/>
      <c r="J54" s="1227"/>
      <c r="K54" s="1227"/>
      <c r="L54" s="1227"/>
      <c r="M54" s="1227"/>
      <c r="N54" s="1227"/>
      <c r="O54" s="1227"/>
      <c r="P54" s="1227"/>
      <c r="Q54" s="1227"/>
      <c r="R54" s="1227"/>
      <c r="S54" s="1227"/>
      <c r="T54" s="1227"/>
      <c r="U54" s="1227"/>
      <c r="V54" s="1227"/>
      <c r="W54" s="1227"/>
      <c r="X54" s="1227"/>
      <c r="Y54" s="1227"/>
      <c r="Z54" s="1227"/>
      <c r="AA54" s="1227"/>
      <c r="AB54" s="1227"/>
      <c r="AC54" s="1227"/>
      <c r="AD54" s="1227"/>
      <c r="AE54" s="1227"/>
      <c r="AF54" s="1227"/>
      <c r="AG54" s="1227"/>
      <c r="AH54" s="1227"/>
      <c r="AI54" s="1227"/>
      <c r="AJ54" s="1227"/>
      <c r="AK54" s="122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27"/>
      <c r="E55" s="1227"/>
      <c r="F55" s="1227"/>
      <c r="G55" s="1227"/>
      <c r="H55" s="1227"/>
      <c r="I55" s="1227"/>
      <c r="J55" s="1227"/>
      <c r="K55" s="1227"/>
      <c r="L55" s="1227"/>
      <c r="M55" s="1227"/>
      <c r="N55" s="1227"/>
      <c r="O55" s="1227"/>
      <c r="P55" s="1227"/>
      <c r="Q55" s="1227"/>
      <c r="R55" s="1227"/>
      <c r="S55" s="1227"/>
      <c r="T55" s="1227"/>
      <c r="U55" s="1227"/>
      <c r="V55" s="1227"/>
      <c r="W55" s="1227"/>
      <c r="X55" s="1227"/>
      <c r="Y55" s="1227"/>
      <c r="Z55" s="1227"/>
      <c r="AA55" s="1227"/>
      <c r="AB55" s="1227"/>
      <c r="AC55" s="1227"/>
      <c r="AD55" s="1227"/>
      <c r="AE55" s="1227"/>
      <c r="AF55" s="1227"/>
      <c r="AG55" s="1227"/>
      <c r="AH55" s="1227"/>
      <c r="AI55" s="1227"/>
      <c r="AJ55" s="1227"/>
      <c r="AK55" s="122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27"/>
      <c r="E56" s="1227"/>
      <c r="F56" s="1227"/>
      <c r="G56" s="1227"/>
      <c r="H56" s="1227"/>
      <c r="I56" s="1227"/>
      <c r="J56" s="1227"/>
      <c r="K56" s="1227"/>
      <c r="L56" s="1227"/>
      <c r="M56" s="1227"/>
      <c r="N56" s="1227"/>
      <c r="O56" s="1227"/>
      <c r="P56" s="1227"/>
      <c r="Q56" s="1227"/>
      <c r="R56" s="1227"/>
      <c r="S56" s="1227"/>
      <c r="T56" s="1227"/>
      <c r="U56" s="1227"/>
      <c r="V56" s="1227"/>
      <c r="W56" s="1227"/>
      <c r="X56" s="1227"/>
      <c r="Y56" s="1227"/>
      <c r="Z56" s="1227"/>
      <c r="AA56" s="1227"/>
      <c r="AB56" s="1227"/>
      <c r="AC56" s="1227"/>
      <c r="AD56" s="1227"/>
      <c r="AE56" s="1227"/>
      <c r="AF56" s="1227"/>
      <c r="AG56" s="1227"/>
      <c r="AH56" s="1227"/>
      <c r="AI56" s="1227"/>
      <c r="AJ56" s="1227"/>
      <c r="AK56" s="122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452"/>
      <c r="AM58" s="15"/>
      <c r="AN58" s="189"/>
      <c r="AP58" s="458"/>
      <c r="AQ58" s="459"/>
      <c r="AR58" s="460"/>
      <c r="AS58" s="461"/>
    </row>
    <row r="59" spans="1:55" x14ac:dyDescent="0.2">
      <c r="A59" s="140">
        <f t="shared" si="0"/>
        <v>55</v>
      </c>
      <c r="B59" s="167"/>
      <c r="C59" s="434"/>
      <c r="D59" s="1227"/>
      <c r="E59" s="1227"/>
      <c r="F59" s="1227"/>
      <c r="G59" s="1227"/>
      <c r="H59" s="1227"/>
      <c r="I59" s="1227"/>
      <c r="J59" s="1227"/>
      <c r="K59" s="1227"/>
      <c r="L59" s="1227"/>
      <c r="M59" s="1227"/>
      <c r="N59" s="1227"/>
      <c r="O59" s="1227"/>
      <c r="P59" s="1227"/>
      <c r="Q59" s="1227"/>
      <c r="R59" s="1227"/>
      <c r="S59" s="1227"/>
      <c r="T59" s="1227"/>
      <c r="U59" s="1227"/>
      <c r="V59" s="1227"/>
      <c r="W59" s="1227"/>
      <c r="X59" s="1227"/>
      <c r="Y59" s="1227"/>
      <c r="Z59" s="1227"/>
      <c r="AA59" s="1227"/>
      <c r="AB59" s="1227"/>
      <c r="AC59" s="1227"/>
      <c r="AD59" s="1227"/>
      <c r="AE59" s="1227"/>
      <c r="AF59" s="1227"/>
      <c r="AG59" s="1227"/>
      <c r="AH59" s="1227"/>
      <c r="AI59" s="1227"/>
      <c r="AJ59" s="1227"/>
      <c r="AK59" s="1227"/>
      <c r="AL59" s="452"/>
      <c r="AM59" s="15"/>
      <c r="AN59" s="189"/>
      <c r="AP59" s="458"/>
      <c r="AQ59" s="459"/>
      <c r="AR59" s="460"/>
      <c r="AS59" s="461"/>
    </row>
    <row r="60" spans="1:55" x14ac:dyDescent="0.2">
      <c r="A60" s="140">
        <f t="shared" si="0"/>
        <v>56</v>
      </c>
      <c r="B60" s="167"/>
      <c r="C60" s="437"/>
      <c r="D60" s="1227"/>
      <c r="E60" s="1227"/>
      <c r="F60" s="1227"/>
      <c r="G60" s="1227"/>
      <c r="H60" s="1227"/>
      <c r="I60" s="1227"/>
      <c r="J60" s="1227"/>
      <c r="K60" s="1227"/>
      <c r="L60" s="1227"/>
      <c r="M60" s="1227"/>
      <c r="N60" s="1227"/>
      <c r="O60" s="1227"/>
      <c r="P60" s="1227"/>
      <c r="Q60" s="1227"/>
      <c r="R60" s="1227"/>
      <c r="S60" s="1227"/>
      <c r="T60" s="1227"/>
      <c r="U60" s="1227"/>
      <c r="V60" s="1227"/>
      <c r="W60" s="1227"/>
      <c r="X60" s="1227"/>
      <c r="Y60" s="1227"/>
      <c r="Z60" s="1227"/>
      <c r="AA60" s="1227"/>
      <c r="AB60" s="1227"/>
      <c r="AC60" s="1227"/>
      <c r="AD60" s="1227"/>
      <c r="AE60" s="1227"/>
      <c r="AF60" s="1227"/>
      <c r="AG60" s="1227"/>
      <c r="AH60" s="1227"/>
      <c r="AI60" s="1227"/>
      <c r="AJ60" s="1227"/>
      <c r="AK60" s="1227"/>
      <c r="AL60" s="452"/>
      <c r="AM60" s="15"/>
      <c r="AN60" s="189"/>
      <c r="AP60" s="458"/>
      <c r="AQ60" s="459"/>
      <c r="AR60" s="460"/>
      <c r="AS60" s="461"/>
    </row>
    <row r="61" spans="1:55" x14ac:dyDescent="0.2">
      <c r="A61" s="140">
        <f t="shared" si="0"/>
        <v>57</v>
      </c>
      <c r="B61" s="167"/>
      <c r="C61" s="437"/>
      <c r="D61" s="1227"/>
      <c r="E61" s="1227"/>
      <c r="F61" s="1227"/>
      <c r="G61" s="1227"/>
      <c r="H61" s="1227"/>
      <c r="I61" s="1227"/>
      <c r="J61" s="1227"/>
      <c r="K61" s="1227"/>
      <c r="L61" s="1227"/>
      <c r="M61" s="1227"/>
      <c r="N61" s="1227"/>
      <c r="O61" s="1227"/>
      <c r="P61" s="1227"/>
      <c r="Q61" s="1227"/>
      <c r="R61" s="1227"/>
      <c r="S61" s="1227"/>
      <c r="T61" s="1227"/>
      <c r="U61" s="1227"/>
      <c r="V61" s="1227"/>
      <c r="W61" s="1227"/>
      <c r="X61" s="1227"/>
      <c r="Y61" s="1227"/>
      <c r="Z61" s="1227"/>
      <c r="AA61" s="1227"/>
      <c r="AB61" s="1227"/>
      <c r="AC61" s="1227"/>
      <c r="AD61" s="1227"/>
      <c r="AE61" s="1227"/>
      <c r="AF61" s="1227"/>
      <c r="AG61" s="1227"/>
      <c r="AH61" s="1227"/>
      <c r="AI61" s="1227"/>
      <c r="AJ61" s="1227"/>
      <c r="AK61" s="1227"/>
      <c r="AL61" s="491"/>
      <c r="AM61" s="15"/>
      <c r="AN61" s="189"/>
      <c r="AP61" s="458"/>
      <c r="AQ61" s="459"/>
      <c r="AR61" s="460"/>
      <c r="AS61" s="461"/>
    </row>
    <row r="62" spans="1:55" x14ac:dyDescent="0.2">
      <c r="A62" s="140">
        <f t="shared" si="0"/>
        <v>58</v>
      </c>
      <c r="B62" s="167"/>
      <c r="C62" s="437"/>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227"/>
      <c r="AB62" s="1227"/>
      <c r="AC62" s="1227"/>
      <c r="AD62" s="1227"/>
      <c r="AE62" s="1227"/>
      <c r="AF62" s="1227"/>
      <c r="AG62" s="1227"/>
      <c r="AH62" s="1227"/>
      <c r="AI62" s="1227"/>
      <c r="AJ62" s="1227"/>
      <c r="AK62" s="1227"/>
      <c r="AL62" s="491"/>
      <c r="AM62" s="15"/>
      <c r="AN62" s="189"/>
      <c r="AP62" s="458"/>
      <c r="AQ62" s="459"/>
      <c r="AR62" s="460"/>
      <c r="AS62" s="461"/>
    </row>
    <row r="63" spans="1:55" x14ac:dyDescent="0.2">
      <c r="A63" s="140">
        <f t="shared" si="0"/>
        <v>59</v>
      </c>
      <c r="B63" s="167"/>
      <c r="C63" s="437"/>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227"/>
      <c r="AB63" s="1227"/>
      <c r="AC63" s="1227"/>
      <c r="AD63" s="1227"/>
      <c r="AE63" s="1227"/>
      <c r="AF63" s="1227"/>
      <c r="AG63" s="1227"/>
      <c r="AH63" s="1227"/>
      <c r="AI63" s="1227"/>
      <c r="AJ63" s="1227"/>
      <c r="AK63" s="1227"/>
      <c r="AL63" s="491"/>
      <c r="AM63" s="15"/>
      <c r="AN63" s="189"/>
      <c r="AP63" s="458"/>
      <c r="AQ63" s="459"/>
      <c r="AR63" s="460"/>
      <c r="AS63" s="461"/>
    </row>
    <row r="64" spans="1:55" x14ac:dyDescent="0.2">
      <c r="A64" s="140">
        <f t="shared" si="0"/>
        <v>60</v>
      </c>
      <c r="B64" s="167"/>
      <c r="C64" s="437"/>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227"/>
      <c r="AB64" s="1227"/>
      <c r="AC64" s="1227"/>
      <c r="AD64" s="1227"/>
      <c r="AE64" s="1227"/>
      <c r="AF64" s="1227"/>
      <c r="AG64" s="1227"/>
      <c r="AH64" s="1227"/>
      <c r="AI64" s="1227"/>
      <c r="AJ64" s="1227"/>
      <c r="AK64" s="1227"/>
      <c r="AL64" s="491"/>
      <c r="AM64" s="15"/>
      <c r="AN64" s="188"/>
      <c r="AP64" s="458"/>
      <c r="AQ64" s="459"/>
      <c r="AR64" s="460"/>
      <c r="AS64" s="461"/>
    </row>
    <row r="65" spans="1:45" x14ac:dyDescent="0.2">
      <c r="A65" s="140">
        <f t="shared" si="0"/>
        <v>61</v>
      </c>
      <c r="B65" s="167"/>
      <c r="C65" s="437"/>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227"/>
      <c r="AB65" s="1227"/>
      <c r="AC65" s="1227"/>
      <c r="AD65" s="1227"/>
      <c r="AE65" s="1227"/>
      <c r="AF65" s="1227"/>
      <c r="AG65" s="1227"/>
      <c r="AH65" s="1227"/>
      <c r="AI65" s="1227"/>
      <c r="AJ65" s="1227"/>
      <c r="AK65" s="1227"/>
      <c r="AL65" s="491"/>
      <c r="AM65" s="15"/>
      <c r="AN65" s="188"/>
      <c r="AP65" s="458"/>
      <c r="AQ65" s="459"/>
      <c r="AR65" s="460"/>
      <c r="AS65" s="461"/>
    </row>
    <row r="66" spans="1:45" x14ac:dyDescent="0.2">
      <c r="A66" s="140">
        <f t="shared" si="0"/>
        <v>62</v>
      </c>
      <c r="B66" s="167"/>
      <c r="C66" s="437"/>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227"/>
      <c r="AB66" s="1227"/>
      <c r="AC66" s="1227"/>
      <c r="AD66" s="1227"/>
      <c r="AE66" s="1227"/>
      <c r="AF66" s="1227"/>
      <c r="AG66" s="1227"/>
      <c r="AH66" s="1227"/>
      <c r="AI66" s="1227"/>
      <c r="AJ66" s="1227"/>
      <c r="AK66" s="1227"/>
      <c r="AL66" s="491"/>
      <c r="AM66" s="15"/>
      <c r="AN66" s="188"/>
      <c r="AP66" s="458"/>
      <c r="AQ66" s="459"/>
      <c r="AR66" s="460"/>
      <c r="AS66" s="461"/>
    </row>
    <row r="67" spans="1:45" x14ac:dyDescent="0.2">
      <c r="A67" s="140">
        <f t="shared" si="0"/>
        <v>63</v>
      </c>
      <c r="B67" s="167"/>
      <c r="C67" s="437"/>
      <c r="D67" s="1227"/>
      <c r="E67" s="1227"/>
      <c r="F67" s="1227"/>
      <c r="G67" s="1227"/>
      <c r="H67" s="1227"/>
      <c r="I67" s="1227"/>
      <c r="J67" s="1227"/>
      <c r="K67" s="1227"/>
      <c r="L67" s="1227"/>
      <c r="M67" s="1227"/>
      <c r="N67" s="1227"/>
      <c r="O67" s="1227"/>
      <c r="P67" s="1227"/>
      <c r="Q67" s="1227"/>
      <c r="R67" s="1227"/>
      <c r="S67" s="1227"/>
      <c r="T67" s="1227"/>
      <c r="U67" s="1227"/>
      <c r="V67" s="1227"/>
      <c r="W67" s="1227"/>
      <c r="X67" s="1227"/>
      <c r="Y67" s="1227"/>
      <c r="Z67" s="1227"/>
      <c r="AA67" s="1227"/>
      <c r="AB67" s="1227"/>
      <c r="AC67" s="1227"/>
      <c r="AD67" s="1227"/>
      <c r="AE67" s="1227"/>
      <c r="AF67" s="1227"/>
      <c r="AG67" s="1227"/>
      <c r="AH67" s="1227"/>
      <c r="AI67" s="1227"/>
      <c r="AJ67" s="1227"/>
      <c r="AK67" s="122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45"/>
      <c r="J70" s="1145"/>
      <c r="K70" s="1145"/>
      <c r="L70" s="1145"/>
      <c r="M70" s="1145"/>
      <c r="N70" s="1145"/>
      <c r="O70" s="1145"/>
      <c r="P70" s="1145"/>
      <c r="Q70" s="1145"/>
      <c r="R70" s="1145"/>
      <c r="S70" s="1145"/>
      <c r="T70" s="1145"/>
      <c r="W70" s="104" t="s">
        <v>48</v>
      </c>
      <c r="X70" s="104"/>
      <c r="Y70" s="1109"/>
      <c r="Z70" s="1109"/>
      <c r="AE70" s="292" t="s">
        <v>271</v>
      </c>
      <c r="AF70" s="292"/>
      <c r="AG70" s="292"/>
      <c r="AH70" s="1108"/>
      <c r="AI70" s="1108"/>
      <c r="AJ70" s="258" t="s">
        <v>269</v>
      </c>
      <c r="AK70" s="1096" t="str">
        <f>IF(C_PageNo_Total=0,"",C_PageNo_Total)</f>
        <v/>
      </c>
      <c r="AL70" s="1096"/>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1" t="s">
        <v>303</v>
      </c>
      <c r="G2" s="1241"/>
      <c r="H2" s="1241"/>
      <c r="I2" s="1241"/>
      <c r="J2" s="1241"/>
      <c r="K2" s="1241"/>
      <c r="L2" s="1241"/>
      <c r="M2" s="1241"/>
      <c r="N2" s="1241"/>
      <c r="O2" s="1241"/>
      <c r="P2" s="1241"/>
      <c r="Q2" s="1241"/>
      <c r="R2" s="1241"/>
      <c r="S2" s="1241"/>
      <c r="T2" s="1241"/>
      <c r="U2" s="1241"/>
      <c r="V2" s="1241"/>
      <c r="W2" s="1241"/>
      <c r="X2" s="1241"/>
      <c r="Y2" s="1241"/>
      <c r="Z2" s="1241"/>
      <c r="AA2" s="1241"/>
      <c r="AB2" s="1241"/>
      <c r="AC2" s="1241"/>
      <c r="AD2" s="1241"/>
      <c r="AE2" s="1241"/>
      <c r="AF2" s="1241"/>
      <c r="AG2" s="1241"/>
      <c r="AH2" s="1241"/>
      <c r="AI2" s="1241"/>
      <c r="AJ2" s="1241"/>
      <c r="AK2" s="1241"/>
      <c r="AL2" s="1241"/>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0"/>
      <c r="E23" s="1240"/>
      <c r="F23" s="1240"/>
      <c r="G23" s="1240"/>
      <c r="H23" s="1240"/>
      <c r="I23" s="1240"/>
      <c r="J23" s="1240"/>
      <c r="K23" s="1240"/>
      <c r="L23" s="1240"/>
      <c r="M23" s="1240"/>
      <c r="N23" s="1240"/>
      <c r="O23" s="1240"/>
      <c r="P23" s="1240"/>
      <c r="Q23" s="1240"/>
      <c r="R23" s="1240"/>
      <c r="S23" s="1240"/>
      <c r="T23" s="1240"/>
      <c r="U23" s="1240"/>
      <c r="V23" s="1240"/>
      <c r="W23" s="1240"/>
      <c r="X23" s="1240"/>
      <c r="Y23" s="1240"/>
      <c r="Z23" s="1240"/>
      <c r="AA23" s="1240"/>
      <c r="AB23" s="1240"/>
      <c r="AC23" s="1240"/>
      <c r="AD23" s="1240"/>
      <c r="AE23" s="1240"/>
      <c r="AF23" s="1240"/>
      <c r="AG23" s="1240"/>
      <c r="AH23" s="1240"/>
      <c r="AI23" s="1240"/>
      <c r="AJ23" s="1240"/>
      <c r="AK23" s="1240"/>
      <c r="AL23" s="1240"/>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45"/>
      <c r="J63" s="1145"/>
      <c r="K63" s="1145"/>
      <c r="L63" s="1145"/>
      <c r="M63" s="1145"/>
      <c r="N63" s="1145"/>
      <c r="O63" s="1145"/>
      <c r="P63" s="1145"/>
      <c r="Q63" s="1145"/>
      <c r="R63" s="1145"/>
      <c r="S63" s="1145"/>
      <c r="T63" s="1145"/>
      <c r="U63" s="112"/>
      <c r="V63" s="112"/>
      <c r="W63" s="111" t="s">
        <v>48</v>
      </c>
      <c r="X63" s="111"/>
      <c r="Y63" s="1109"/>
      <c r="Z63" s="1109"/>
      <c r="AA63" s="112"/>
      <c r="AB63" s="112"/>
      <c r="AC63" s="112"/>
      <c r="AD63" s="112"/>
      <c r="AE63" s="111" t="s">
        <v>271</v>
      </c>
      <c r="AF63" s="111"/>
      <c r="AG63" s="291"/>
      <c r="AH63" s="1108"/>
      <c r="AI63" s="1108"/>
      <c r="AJ63" s="294" t="s">
        <v>269</v>
      </c>
      <c r="AK63" s="1096" t="str">
        <f>IF(C_PageNo_Total=0,"",C_PageNo_Total)</f>
        <v/>
      </c>
      <c r="AL63" s="1096"/>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2014-08-21T20:08:48Z</dcterms:modified>
</cp:coreProperties>
</file>