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240" windowWidth="19320" windowHeight="1350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H13" i="17" l="1"/>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s="1"/>
  <c r="E69" i="14"/>
  <c r="E70" i="14" s="1"/>
  <c r="F69" i="14"/>
  <c r="F72" i="14" s="1"/>
  <c r="C69" i="14"/>
  <c r="C70" i="14" s="1"/>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D70" i="14" l="1"/>
  <c r="E72" i="14"/>
  <c r="F70" i="14"/>
  <c r="AA3" i="14"/>
  <c r="AB3" i="14" s="1"/>
  <c r="AC3" i="14" s="1"/>
  <c r="I8" i="14"/>
  <c r="O54" i="14"/>
  <c r="B11" i="14"/>
  <c r="I24" i="14"/>
  <c r="O16" i="14"/>
  <c r="O17" i="14"/>
  <c r="I6" i="14"/>
  <c r="B37" i="14"/>
  <c r="B2" i="14"/>
  <c r="I20" i="14"/>
  <c r="I27" i="14"/>
  <c r="O10" i="14"/>
  <c r="I10" i="14"/>
  <c r="O9" i="14"/>
  <c r="B16" i="14"/>
  <c r="O28" i="14"/>
  <c r="B33" i="14"/>
  <c r="B34" i="14"/>
  <c r="O20" i="14"/>
  <c r="B19" i="14"/>
  <c r="O55" i="14"/>
  <c r="B70" i="14"/>
  <c r="B23" i="14"/>
  <c r="O8" i="14"/>
  <c r="O59" i="14"/>
  <c r="B3" i="14"/>
  <c r="O50" i="14"/>
  <c r="B10" i="14"/>
  <c r="O11" i="14"/>
  <c r="B14" i="14"/>
  <c r="B38" i="14"/>
  <c r="O18" i="14"/>
  <c r="B52" i="14"/>
  <c r="B12" i="14"/>
  <c r="I21" i="14"/>
  <c r="O14" i="14"/>
  <c r="I14" i="14"/>
  <c r="B48" i="14"/>
  <c r="B6" i="14"/>
  <c r="B5" i="14"/>
  <c r="O26" i="14"/>
  <c r="O34" i="14"/>
  <c r="B13" i="14"/>
  <c r="B18" i="14"/>
  <c r="O53" i="14"/>
  <c r="O49" i="14"/>
  <c r="I13" i="14"/>
  <c r="B58" i="14"/>
  <c r="I11" i="14"/>
  <c r="B28" i="14"/>
  <c r="O35" i="14"/>
  <c r="B57" i="14"/>
  <c r="B26" i="14"/>
  <c r="I26" i="14"/>
  <c r="I30" i="14"/>
  <c r="I32" i="14"/>
  <c r="O56" i="14"/>
  <c r="O29" i="14"/>
  <c r="B60" i="14"/>
  <c r="O27" i="14"/>
  <c r="B51" i="14"/>
  <c r="B30" i="14"/>
  <c r="B31" i="14"/>
  <c r="B54" i="14"/>
  <c r="I12" i="14"/>
  <c r="O6" i="14"/>
  <c r="B63" i="14"/>
  <c r="B49" i="14"/>
  <c r="B72" i="14"/>
  <c r="O15" i="14"/>
  <c r="I29" i="14"/>
  <c r="B35" i="14"/>
  <c r="O39" i="14"/>
  <c r="O58" i="14"/>
  <c r="B4" i="14"/>
  <c r="I31" i="14"/>
  <c r="B21" i="14"/>
  <c r="B9" i="14"/>
  <c r="O7" i="14"/>
  <c r="B17" i="14"/>
  <c r="B46" i="14"/>
  <c r="B74" i="14"/>
  <c r="B55" i="14"/>
  <c r="B44" i="14"/>
  <c r="I7" i="14"/>
  <c r="B29" i="14"/>
  <c r="B36" i="14"/>
  <c r="B40" i="14"/>
  <c r="B22" i="14"/>
  <c r="O45" i="14"/>
  <c r="B39" i="14"/>
  <c r="B15" i="14"/>
  <c r="B62" i="14"/>
  <c r="B24" i="14"/>
  <c r="B41" i="14"/>
  <c r="I22" i="14"/>
  <c r="I19" i="14"/>
  <c r="O48" i="14"/>
  <c r="O30" i="14"/>
  <c r="B69" i="14"/>
  <c r="O46" i="14"/>
  <c r="B25" i="14"/>
  <c r="O19" i="14"/>
  <c r="O31" i="14"/>
  <c r="O47" i="14"/>
  <c r="O36" i="14"/>
  <c r="B47" i="14"/>
  <c r="B59" i="14"/>
  <c r="I23" i="14"/>
  <c r="B65" i="14"/>
  <c r="B7" i="14"/>
  <c r="B32" i="14"/>
  <c r="I25" i="14"/>
  <c r="B71" i="14"/>
  <c r="B61" i="14"/>
  <c r="O57" i="14"/>
  <c r="I9" i="14"/>
  <c r="B42" i="14"/>
  <c r="B20" i="14"/>
  <c r="B56" i="14"/>
  <c r="O40" i="14"/>
  <c r="B73" i="14"/>
  <c r="I28" i="14"/>
  <c r="B53" i="14"/>
  <c r="B43" i="14"/>
  <c r="B27" i="14"/>
  <c r="B50" i="14"/>
  <c r="B45" i="14"/>
  <c r="B8" i="14"/>
  <c r="O38" i="14"/>
  <c r="O37" i="14"/>
  <c r="K16" i="17" l="1"/>
  <c r="K24" i="17"/>
  <c r="K23" i="17"/>
  <c r="K13" i="17"/>
  <c r="K52" i="17"/>
  <c r="S58" i="17"/>
  <c r="K28" i="17"/>
  <c r="AL55" i="17"/>
  <c r="Q28" i="17"/>
  <c r="U52" i="7"/>
  <c r="U51" i="7"/>
  <c r="U45" i="7"/>
  <c r="U47" i="7"/>
  <c r="U53" i="7"/>
  <c r="U48" i="7"/>
  <c r="S24" i="7"/>
  <c r="U54" i="7"/>
  <c r="S22" i="7"/>
  <c r="U49" i="7"/>
  <c r="S17" i="7"/>
  <c r="O17" i="7"/>
  <c r="U50" i="7"/>
  <c r="U46" i="7"/>
  <c r="AL26" i="7"/>
  <c r="K37" i="17"/>
  <c r="S61" i="17"/>
  <c r="K26" i="17"/>
  <c r="S59" i="17"/>
  <c r="K27" i="17"/>
  <c r="S60" i="17"/>
  <c r="S57" i="17"/>
  <c r="S38" i="17"/>
  <c r="K21" i="17"/>
  <c r="X40" i="17"/>
  <c r="S34" i="3"/>
  <c r="X33" i="17"/>
  <c r="AM9" i="3"/>
  <c r="AM10" i="3"/>
  <c r="K54" i="17"/>
  <c r="S53" i="17"/>
  <c r="AL23" i="5"/>
  <c r="S56" i="17"/>
  <c r="K22" i="17"/>
  <c r="AL24" i="5"/>
  <c r="S55" i="17"/>
  <c r="S54" i="17"/>
  <c r="AL25" i="5"/>
  <c r="P62" i="17"/>
  <c r="P64" i="17"/>
  <c r="AM28" i="3"/>
  <c r="S21" i="7"/>
  <c r="S51" i="17"/>
  <c r="AL27" i="7"/>
  <c r="AL12" i="7"/>
  <c r="S27" i="7"/>
  <c r="S18" i="7"/>
  <c r="AL25" i="7"/>
  <c r="AL11" i="7"/>
  <c r="Q27" i="17"/>
  <c r="S37" i="17"/>
  <c r="K25" i="17"/>
  <c r="K15" i="17"/>
  <c r="O11" i="7"/>
  <c r="O15" i="7"/>
  <c r="O14" i="7"/>
  <c r="O12" i="7"/>
  <c r="S11" i="7"/>
  <c r="O13" i="7"/>
  <c r="S12" i="7"/>
  <c r="S14" i="7"/>
  <c r="S13" i="7"/>
  <c r="S15" i="7"/>
  <c r="AE37" i="17"/>
  <c r="X42" i="17"/>
  <c r="AH10" i="3"/>
  <c r="AK37" i="17"/>
  <c r="X34" i="17"/>
  <c r="AH9" i="3"/>
  <c r="M32" i="16"/>
</calcChain>
</file>

<file path=xl/sharedStrings.xml><?xml version="1.0" encoding="utf-8"?>
<sst xmlns="http://schemas.openxmlformats.org/spreadsheetml/2006/main" count="1248" uniqueCount="940">
  <si>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</si>
  <si>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</si>
  <si>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</si>
  <si>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</si>
  <si>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</si>
  <si>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</si>
  <si>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</si>
  <si>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</si>
  <si>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</si>
  <si>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</si>
  <si>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</si>
  <si>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</si>
  <si>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</si>
  <si>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</si>
  <si>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</si>
  <si>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</si>
  <si>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</si>
  <si>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</si>
  <si>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</si>
  <si>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</si>
  <si>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</si>
  <si>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</si>
  <si>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</si>
  <si>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</si>
  <si>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</si>
  <si>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</si>
  <si>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</si>
  <si>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</si>
  <si>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</si>
  <si>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</si>
  <si>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</si>
  <si>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</si>
  <si>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</si>
  <si>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</si>
  <si>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</si>
  <si>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</si>
  <si>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</si>
  <si>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</si>
  <si>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</si>
  <si>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</si>
  <si>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</si>
  <si>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</si>
  <si>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</si>
  <si>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</si>
  <si>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</si>
  <si>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</si>
  <si>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</si>
  <si>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</si>
  <si>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</si>
  <si>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</si>
  <si>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</si>
  <si>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</si>
  <si>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</si>
  <si>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</si>
  <si>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</si>
  <si>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</si>
  <si>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</si>
  <si>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</si>
  <si>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</si>
  <si>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</si>
  <si>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</si>
  <si>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</si>
  <si>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</si>
  <si>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</si>
  <si>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</si>
  <si>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</si>
  <si>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</si>
  <si>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</si>
  <si>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</si>
  <si>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</si>
  <si>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</si>
  <si>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</si>
  <si>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</si>
  <si>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</si>
  <si>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</si>
  <si>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</si>
  <si>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</si>
  <si>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</si>
  <si>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</si>
  <si>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</si>
  <si>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</si>
  <si>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</si>
  <si>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</si>
  <si>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</si>
  <si>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</si>
  <si>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</si>
  <si>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</si>
  <si>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</si>
  <si>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</si>
  <si>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</si>
  <si>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</si>
  <si>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</si>
  <si>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</si>
  <si>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</si>
  <si>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</si>
  <si>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</si>
  <si>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</si>
  <si>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</si>
  <si>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</si>
  <si>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</si>
  <si>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</si>
  <si>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</si>
  <si>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</si>
  <si>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</si>
  <si>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</si>
  <si>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</si>
  <si>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</si>
  <si>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</si>
  <si>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</si>
  <si>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</si>
  <si>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</si>
  <si>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</si>
  <si>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</si>
  <si>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</si>
  <si>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</si>
  <si>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</si>
  <si>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</si>
  <si>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</si>
  <si>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</si>
  <si>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</si>
  <si>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</si>
  <si>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</si>
  <si>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</si>
  <si>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</si>
  <si>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</si>
  <si>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</si>
  <si>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</si>
  <si>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</si>
  <si>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</si>
  <si>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</si>
  <si>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</si>
  <si>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</si>
  <si>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</si>
  <si>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</si>
  <si>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</si>
  <si>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</si>
  <si>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</si>
  <si>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</si>
  <si>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</si>
  <si>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</si>
  <si>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</si>
  <si>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</si>
  <si>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</si>
  <si>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</si>
  <si>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</si>
  <si>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</si>
  <si>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</si>
  <si>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</si>
  <si>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</si>
  <si>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</si>
  <si>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</si>
  <si>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</si>
  <si>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</si>
  <si>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</si>
  <si>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</si>
  <si>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</si>
  <si>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</si>
  <si>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</si>
  <si>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</si>
  <si>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</si>
  <si>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</si>
  <si>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</si>
  <si>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</si>
  <si>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</si>
  <si>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</si>
  <si>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</si>
  <si>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</si>
  <si>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</si>
  <si>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</si>
  <si>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</si>
  <si>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</si>
  <si>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</si>
  <si>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</si>
  <si>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</si>
  <si>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</si>
  <si>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</si>
  <si>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</si>
  <si>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</si>
  <si>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</si>
  <si>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</si>
  <si>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</si>
  <si>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</si>
  <si>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</si>
  <si>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</si>
  <si>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</si>
  <si>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</si>
  <si>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</si>
  <si>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</si>
  <si>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</si>
  <si>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</si>
  <si>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</si>
  <si>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</si>
  <si>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</si>
  <si>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</si>
  <si>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</si>
  <si>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</si>
  <si>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</si>
  <si>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</si>
  <si>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</si>
  <si>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</si>
  <si>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</si>
  <si>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</si>
  <si>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</si>
  <si>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</si>
  <si>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</si>
  <si>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</si>
  <si>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</si>
  <si>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</si>
  <si>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</si>
  <si>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</si>
  <si>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</si>
  <si>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</si>
  <si>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</si>
  <si>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</si>
  <si>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</si>
  <si>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</si>
  <si>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</si>
  <si>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</si>
  <si>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</si>
  <si>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</si>
  <si>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</si>
  <si>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</si>
  <si>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</si>
  <si>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</si>
  <si>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</si>
  <si>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</si>
  <si>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</si>
  <si>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</si>
  <si>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</si>
  <si>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</si>
  <si>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</si>
  <si>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</si>
  <si>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</si>
  <si>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</si>
  <si>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</si>
  <si>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</si>
  <si>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</si>
  <si>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</si>
  <si>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</si>
  <si>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</si>
  <si>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</si>
  <si>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</si>
  <si>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</si>
  <si>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</si>
  <si>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</si>
  <si>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</si>
  <si>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</si>
  <si>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</si>
  <si>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</si>
  <si>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</si>
  <si>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</si>
  <si>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</si>
  <si>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</si>
  <si>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</si>
  <si>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</si>
  <si>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</si>
  <si>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</si>
  <si>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</si>
  <si>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</si>
  <si>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</si>
  <si>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</si>
  <si>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</si>
  <si>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</si>
  <si>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</si>
  <si>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</si>
  <si>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</si>
  <si>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</si>
  <si>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</si>
  <si>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</si>
  <si>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</si>
  <si>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</si>
  <si>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</si>
  <si>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</si>
  <si>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</si>
  <si>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</si>
  <si>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</si>
  <si>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</si>
  <si>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</si>
  <si>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</si>
  <si>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</si>
  <si>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</si>
  <si>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</si>
  <si>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</si>
  <si>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</si>
  <si>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</si>
  <si>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</si>
  <si>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</si>
  <si>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</si>
  <si>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</si>
  <si>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</si>
  <si>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</si>
  <si>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</si>
  <si>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</si>
  <si>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</si>
  <si>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</si>
  <si>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</si>
  <si>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</si>
  <si>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</si>
  <si>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</si>
  <si>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</si>
  <si>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</si>
  <si>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</si>
  <si>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</si>
  <si>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</si>
  <si>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</si>
  <si>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</si>
  <si>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</si>
  <si>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</si>
  <si>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</si>
  <si>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</si>
  <si>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</si>
  <si>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</si>
  <si>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</si>
  <si>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</si>
  <si>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</si>
  <si>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</si>
  <si>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</si>
  <si>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</si>
  <si>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</si>
  <si>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</si>
  <si>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</si>
  <si>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</si>
  <si>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</si>
  <si>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</si>
  <si>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</si>
  <si>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</si>
  <si>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</si>
  <si>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</si>
  <si>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</si>
  <si>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</si>
  <si>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</si>
  <si>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</si>
  <si>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</si>
  <si>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</si>
  <si>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</si>
  <si>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</si>
  <si>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</si>
  <si>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</si>
  <si>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</si>
  <si>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</si>
  <si>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</si>
  <si>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</si>
  <si>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</si>
  <si>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</si>
  <si>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</si>
  <si>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</si>
  <si>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</si>
  <si>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</si>
  <si>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</si>
  <si>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</si>
  <si>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</si>
  <si>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</si>
  <si>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</si>
  <si>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</si>
  <si>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</si>
  <si>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</si>
  <si>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</si>
  <si>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</si>
  <si>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</si>
  <si>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</si>
  <si>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</si>
  <si>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</si>
  <si>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</si>
  <si>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</si>
  <si>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</si>
  <si>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</si>
  <si>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</si>
  <si>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</si>
  <si>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</si>
  <si>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</si>
  <si>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</si>
  <si>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</si>
  <si>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</si>
  <si>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</si>
  <si>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</si>
  <si>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</si>
  <si>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</si>
  <si>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</si>
  <si>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</si>
  <si>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</si>
  <si>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</si>
  <si>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</si>
  <si>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</si>
  <si>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</si>
  <si>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</si>
  <si>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</si>
  <si>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</si>
  <si>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</si>
  <si>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</si>
  <si>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</si>
  <si>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</si>
  <si>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</si>
  <si>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</si>
  <si>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</si>
  <si>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</si>
  <si>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</si>
  <si>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</si>
  <si>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</si>
  <si>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</si>
  <si>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</si>
  <si>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</si>
  <si>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</si>
  <si>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</si>
  <si>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</si>
  <si>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</si>
  <si>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</si>
  <si>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</si>
  <si>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</si>
  <si>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</si>
  <si>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</si>
  <si>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</si>
  <si>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</si>
  <si>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</si>
  <si>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</si>
  <si>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</si>
  <si>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</si>
  <si>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</si>
  <si>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</si>
  <si>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</si>
  <si>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</si>
  <si>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</si>
  <si>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</si>
  <si>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</si>
  <si>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</si>
  <si>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</si>
  <si>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</si>
  <si>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</si>
  <si>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</si>
  <si>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</si>
  <si>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</si>
  <si>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</si>
  <si>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</si>
  <si>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</si>
  <si>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</si>
  <si>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</si>
  <si>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</si>
  <si>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</si>
  <si>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</si>
  <si>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</si>
  <si>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</si>
  <si>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</si>
  <si>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</si>
  <si>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</si>
  <si>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</si>
  <si>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</si>
  <si>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</si>
  <si>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</si>
  <si>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</si>
  <si>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</si>
  <si>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</si>
  <si>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</si>
  <si>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</si>
  <si>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</si>
  <si>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</si>
  <si>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</si>
  <si>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</si>
  <si>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</si>
  <si>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</si>
  <si>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</si>
  <si>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</si>
  <si>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</si>
  <si>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</si>
  <si>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</si>
  <si>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</si>
  <si>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</si>
  <si>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</si>
  <si>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</si>
  <si>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</si>
  <si>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</si>
  <si>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</si>
  <si>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</si>
  <si>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</si>
  <si>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</si>
  <si>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</si>
  <si>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</si>
  <si>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</si>
  <si>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</si>
  <si>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</si>
  <si>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</si>
  <si>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</si>
  <si>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</si>
  <si>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</si>
  <si>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</si>
  <si>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</si>
  <si>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</si>
  <si>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</si>
  <si>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</si>
  <si>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</si>
  <si>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</si>
  <si>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</si>
  <si>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</si>
  <si>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</si>
  <si>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</si>
  <si>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</si>
  <si>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</si>
  <si>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</si>
  <si>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</si>
  <si>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</si>
  <si>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</si>
  <si>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</si>
  <si>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</si>
  <si>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</si>
  <si>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</si>
  <si>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</si>
  <si>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</si>
  <si>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</si>
  <si>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</si>
  <si>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</si>
  <si>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</si>
  <si>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</si>
  <si>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</si>
  <si>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</si>
  <si>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</si>
  <si>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</si>
  <si>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</si>
  <si>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</si>
  <si>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</si>
  <si>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</si>
  <si>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</si>
  <si>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</si>
  <si>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</si>
  <si>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</si>
  <si>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</si>
  <si>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</si>
  <si>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</si>
  <si>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</si>
  <si>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</si>
  <si>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</si>
  <si>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</si>
  <si>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</si>
  <si>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</si>
  <si>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</si>
  <si>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</si>
  <si>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</si>
  <si>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</si>
  <si>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</si>
  <si>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</si>
  <si>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</si>
  <si>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</si>
  <si>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</si>
  <si>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</si>
  <si>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</si>
  <si>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</si>
  <si>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</si>
  <si>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</si>
  <si>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</si>
  <si>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</si>
  <si>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</si>
  <si>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</si>
  <si>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</si>
  <si>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</si>
  <si>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</si>
  <si>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</si>
  <si>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</si>
  <si>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</si>
  <si>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</si>
  <si>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</si>
  <si>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</si>
  <si>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</si>
  <si>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</si>
  <si>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</si>
  <si>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</si>
  <si>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</si>
  <si>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</si>
  <si>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</si>
  <si>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</si>
  <si>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</si>
  <si>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</si>
  <si>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</si>
  <si>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</si>
  <si>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</si>
  <si>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</si>
  <si>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</si>
  <si>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</si>
  <si>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</si>
  <si>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</si>
  <si>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</si>
  <si>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</si>
  <si>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</si>
  <si>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</si>
  <si>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</si>
  <si>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</si>
  <si>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</si>
  <si>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</si>
  <si>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</si>
  <si>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</si>
  <si>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</si>
  <si>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</si>
  <si>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</si>
  <si>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</si>
  <si>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</si>
  <si>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</si>
  <si>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</si>
  <si>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</si>
  <si>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</si>
  <si>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</si>
  <si>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</si>
  <si>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</si>
  <si>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</si>
  <si>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</si>
  <si>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</si>
  <si>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</si>
  <si>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</si>
  <si>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</si>
  <si>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</si>
  <si>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</si>
  <si>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</si>
  <si>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</si>
  <si>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</si>
  <si>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</si>
  <si>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</si>
  <si>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</si>
  <si>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</si>
  <si>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</si>
  <si>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</si>
  <si>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</si>
  <si>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</si>
  <si>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</si>
  <si>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</si>
  <si>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</si>
  <si>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</si>
  <si>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</si>
  <si>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</si>
  <si>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</si>
  <si>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</si>
  <si>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</si>
  <si>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</si>
  <si>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</si>
  <si>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</si>
  <si>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</si>
  <si>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</si>
  <si>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</si>
  <si>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</si>
  <si>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</si>
  <si>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</si>
  <si>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</si>
  <si>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</si>
  <si>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</si>
  <si>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</si>
  <si>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</si>
  <si>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</si>
  <si>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</si>
  <si>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</si>
  <si>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</si>
  <si>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</si>
  <si>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</si>
  <si>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</si>
  <si>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</si>
  <si>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</si>
  <si>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</si>
  <si>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</si>
  <si>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</si>
  <si>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</si>
  <si>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</si>
  <si>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</si>
  <si>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</si>
  <si>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</si>
  <si>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</si>
  <si>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</si>
  <si>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</si>
  <si>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</si>
  <si>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</si>
  <si>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</si>
  <si>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</si>
  <si>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</si>
  <si>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</si>
  <si>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</si>
  <si>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</si>
  <si>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</si>
  <si>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</si>
  <si>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</si>
  <si>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</si>
  <si>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</si>
  <si>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</si>
  <si>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</si>
  <si>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</si>
  <si>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</si>
  <si>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</si>
  <si>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</si>
  <si>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</si>
  <si>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</si>
  <si>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</si>
  <si>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</si>
  <si>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</si>
  <si>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</si>
  <si>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</si>
  <si>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</si>
  <si>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</si>
  <si>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</si>
  <si>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</si>
  <si>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</si>
  <si>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</si>
  <si>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</si>
  <si>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</si>
  <si>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</si>
  <si>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</si>
  <si>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</si>
  <si>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</si>
  <si>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</si>
  <si>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</si>
  <si>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</si>
  <si>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</si>
  <si>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</si>
  <si>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</si>
  <si>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</si>
  <si>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</si>
  <si>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</si>
  <si>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</si>
  <si>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</si>
  <si>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</si>
  <si>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</si>
  <si>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</si>
  <si>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</si>
  <si>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</si>
  <si>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</si>
  <si>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</si>
  <si>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</si>
  <si>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</si>
  <si>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</si>
  <si>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</si>
  <si>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</si>
  <si>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</si>
  <si>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</si>
  <si>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</si>
  <si>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</si>
  <si>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</si>
  <si>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</si>
  <si>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</si>
  <si>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</si>
  <si>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</si>
  <si>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</si>
  <si>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</si>
  <si>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</si>
  <si>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</si>
  <si>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</si>
  <si>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</si>
  <si>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</si>
  <si>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</si>
  <si>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</si>
  <si>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</si>
  <si>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</si>
  <si>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</si>
  <si>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</si>
  <si>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</si>
  <si>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</si>
  <si>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</si>
  <si>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</si>
  <si>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</si>
  <si>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</si>
  <si>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</si>
  <si>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</si>
  <si>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</si>
  <si>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</si>
  <si>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</si>
  <si>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</si>
  <si>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</si>
  <si>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</si>
  <si>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</si>
  <si>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</si>
  <si>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</si>
  <si>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</si>
  <si>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</si>
  <si>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</si>
  <si>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</si>
  <si>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</si>
  <si>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</si>
  <si>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</si>
  <si>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</si>
  <si>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</si>
  <si>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</si>
  <si>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</si>
  <si>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</si>
  <si>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</si>
  <si>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</si>
  <si>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</si>
  <si>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</si>
  <si>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</si>
  <si>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</si>
  <si>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</si>
  <si>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</si>
  <si>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</si>
  <si>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</si>
  <si>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</si>
  <si>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</si>
  <si>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</si>
  <si>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</si>
  <si>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</si>
  <si>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</si>
  <si>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</si>
  <si>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</si>
  <si>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</si>
  <si>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</si>
  <si>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</si>
  <si>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</si>
  <si>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</si>
  <si>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</si>
  <si>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</si>
  <si>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</si>
  <si>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</si>
  <si>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</si>
  <si>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</si>
  <si>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</si>
  <si>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</si>
  <si>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</si>
  <si>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</si>
  <si>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</si>
  <si>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</si>
  <si>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</si>
  <si>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</si>
  <si>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</si>
  <si>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</si>
  <si>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</si>
  <si>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</si>
  <si>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</si>
  <si>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</si>
  <si>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</si>
  <si>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</si>
  <si>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</si>
  <si>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</si>
  <si>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</si>
  <si>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</si>
  <si>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</si>
  <si>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</si>
  <si>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</si>
  <si>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</si>
  <si>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</si>
  <si>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</si>
  <si>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</si>
  <si>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</si>
  <si>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</si>
  <si>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</si>
  <si>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</si>
  <si>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</si>
  <si>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</si>
  <si>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</si>
  <si>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</si>
  <si>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</si>
  <si>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</si>
  <si>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</si>
  <si>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</si>
  <si>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</si>
  <si>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</si>
  <si>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</si>
  <si>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</si>
  <si>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</si>
  <si>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</si>
  <si>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</si>
  <si>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</si>
  <si>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</si>
  <si>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</si>
  <si>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</si>
  <si>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</si>
  <si>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</si>
  <si>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</si>
  <si>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</si>
  <si>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</si>
  <si>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</si>
  <si>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</si>
  <si>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</si>
  <si>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</si>
  <si>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</si>
  <si>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</si>
  <si>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</si>
  <si>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</si>
  <si>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</si>
  <si>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</si>
  <si>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</si>
  <si>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</si>
  <si>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</si>
  <si>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</si>
  <si>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</si>
  <si>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</si>
  <si>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</si>
  <si>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</si>
  <si>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</si>
  <si>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</si>
  <si>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</si>
  <si>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</si>
  <si>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</si>
  <si>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</si>
  <si>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</si>
  <si>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</si>
  <si>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</si>
  <si>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</si>
  <si>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</si>
  <si>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</si>
  <si>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</si>
  <si>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Titulo Projeto</t>
  </si>
  <si>
    <t>Nome Cliente</t>
  </si>
  <si>
    <t>8289647-9011</t>
  </si>
  <si>
    <t>SIP-001A/B/C/D</t>
  </si>
  <si>
    <t>SAFETY INJECTION - BORATED WATER</t>
  </si>
  <si>
    <t>requisitionID</t>
  </si>
  <si>
    <t>SpecID</t>
  </si>
  <si>
    <t>PurchOrderNumber</t>
  </si>
  <si>
    <t>Comentarios</t>
  </si>
  <si>
    <t>Comentarios 2</t>
  </si>
  <si>
    <t>Comentarios 3</t>
  </si>
  <si>
    <t>Comentarios 4</t>
  </si>
  <si>
    <t>Comentarios 5</t>
  </si>
  <si>
    <t>Comentarios 6</t>
  </si>
  <si>
    <t>Comentarios 7</t>
  </si>
  <si>
    <t>Comentarios 8</t>
  </si>
  <si>
    <t>Comentarios 9</t>
  </si>
  <si>
    <t>Comentarios 10</t>
  </si>
  <si>
    <t>Comentarios 11</t>
  </si>
  <si>
    <t>pumpID</t>
  </si>
  <si>
    <t>motorID</t>
  </si>
  <si>
    <t>gearID</t>
  </si>
  <si>
    <t>turbineID</t>
  </si>
  <si>
    <t>No comment for applicable standards</t>
  </si>
  <si>
    <t>dml2</t>
  </si>
  <si>
    <t>e9vp</t>
  </si>
  <si>
    <t>CENTERLINE</t>
  </si>
  <si>
    <t>API-610</t>
  </si>
  <si>
    <t>PURCHASE</t>
  </si>
  <si>
    <t>INTERMITTENT</t>
  </si>
  <si>
    <t>NO</t>
  </si>
  <si>
    <t>Gear Coupling</t>
  </si>
  <si>
    <t>VERTICAL</t>
  </si>
  <si>
    <t>Closed-Valve (Unloaded) Start</t>
  </si>
  <si>
    <t>INDOOR</t>
  </si>
  <si>
    <t>UNHEATED</t>
  </si>
  <si>
    <t>GRADE</t>
  </si>
  <si>
    <t>UNDER ROOF</t>
  </si>
  <si>
    <t>Safe</t>
  </si>
  <si>
    <t>SOMEWHERE MACHINERY WORKS</t>
  </si>
  <si>
    <t>6x10x11B</t>
  </si>
  <si>
    <t>ABC PUMPS (USA)</t>
  </si>
  <si>
    <t>REACTOR BLDG</t>
  </si>
  <si>
    <t>TypeData</t>
  </si>
  <si>
    <t>MSD2-D</t>
  </si>
  <si>
    <t>RWSP(+NaTB during safety injection)</t>
  </si>
  <si>
    <t>Series</t>
  </si>
  <si>
    <t>ISSUED FOR PURCHASE</t>
  </si>
  <si>
    <t>e6z5</t>
  </si>
  <si>
    <t>Approved</t>
  </si>
  <si>
    <t>0.5</t>
  </si>
  <si>
    <t>ACME</t>
  </si>
  <si>
    <t>STEAM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</si>
</sst>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80"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
      <u/>
      <sz val="10"/>
      <name val="Arial"/>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7">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49" fontId="79" fillId="0" borderId="0" xfId="0" applyNumberFormat="1" applyFont="1" applyAlignment="1">
      <alignment horizontal="center"/>
    </xf>
    <xf numFmtId="49" fontId="79" fillId="0" borderId="0" xfId="0" applyNumberFormat="1" applyFont="1"/>
    <xf numFmtId="49" fontId="0" fillId="0" borderId="0" xfId="0" applyNumberFormat="1"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164" fontId="20" fillId="0" borderId="26" xfId="0" applyNumberFormat="1"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24" fillId="0" borderId="30" xfId="0" applyFont="1" applyBorder="1" applyAlignment="1" applyProtection="1">
      <alignment horizont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4" fillId="0" borderId="36" xfId="0" applyNumberFormat="1" applyFont="1" applyFill="1" applyBorder="1" applyAlignment="1" applyProtection="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0" fillId="0" borderId="36"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36" fillId="6" borderId="0" xfId="0" applyFont="1" applyFill="1" applyBorder="1" applyAlignment="1" applyProtection="1">
      <alignment horizontal="center"/>
    </xf>
    <xf numFmtId="0" fontId="0" fillId="0" borderId="36" xfId="0" applyFont="1" applyBorder="1" applyAlignment="1" applyProtection="1">
      <alignment horizontal="left"/>
      <protection locked="0"/>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3"/>
  </cols>
  <sheetData>
    <row r="1" spans="1:11" ht="21" x14ac:dyDescent="0.25">
      <c r="A1" s="852" t="s">
        <v>858</v>
      </c>
    </row>
    <row r="3" spans="1:11" ht="55.5" customHeight="1" x14ac:dyDescent="0.2">
      <c r="A3" s="873" t="s">
        <v>867</v>
      </c>
      <c r="B3" s="873"/>
      <c r="C3" s="873"/>
      <c r="D3" s="873"/>
      <c r="E3" s="873"/>
      <c r="F3" s="873"/>
      <c r="G3" s="873"/>
      <c r="H3" s="873"/>
      <c r="I3" s="873"/>
      <c r="J3" s="873"/>
      <c r="K3" s="873"/>
    </row>
    <row r="5" spans="1:11" ht="101.25" customHeight="1" x14ac:dyDescent="0.2">
      <c r="A5" s="872" t="s">
        <v>861</v>
      </c>
      <c r="B5" s="872"/>
      <c r="C5" s="872"/>
      <c r="D5" s="872"/>
      <c r="E5" s="872"/>
      <c r="F5" s="872"/>
      <c r="G5" s="872"/>
      <c r="H5" s="872"/>
      <c r="I5" s="872"/>
      <c r="J5" s="872"/>
      <c r="K5" s="872"/>
    </row>
    <row r="7" spans="1:11" ht="27" customHeight="1" x14ac:dyDescent="0.2">
      <c r="A7" s="872" t="s">
        <v>856</v>
      </c>
      <c r="B7" s="872"/>
      <c r="C7" s="872"/>
      <c r="D7" s="872"/>
      <c r="E7" s="872"/>
      <c r="F7" s="872"/>
      <c r="G7" s="872"/>
      <c r="H7" s="872"/>
      <c r="I7" s="872"/>
      <c r="J7" s="872"/>
      <c r="K7" s="872"/>
    </row>
    <row r="9" spans="1:11" ht="25.5" customHeight="1" x14ac:dyDescent="0.2">
      <c r="A9" s="872" t="s">
        <v>859</v>
      </c>
      <c r="B9" s="872"/>
      <c r="C9" s="872"/>
      <c r="D9" s="872"/>
      <c r="E9" s="872"/>
      <c r="F9" s="872"/>
      <c r="G9" s="872"/>
      <c r="H9" s="872"/>
      <c r="I9" s="872"/>
      <c r="J9" s="872"/>
      <c r="K9" s="872"/>
    </row>
    <row r="11" spans="1:11" ht="43.5" customHeight="1" x14ac:dyDescent="0.2">
      <c r="A11" s="872" t="s">
        <v>860</v>
      </c>
      <c r="B11" s="872"/>
      <c r="C11" s="872"/>
      <c r="D11" s="872"/>
      <c r="E11" s="872"/>
      <c r="F11" s="872"/>
      <c r="G11" s="872"/>
      <c r="H11" s="872"/>
      <c r="I11" s="872"/>
      <c r="J11" s="872"/>
      <c r="K11" s="872"/>
    </row>
    <row r="13" spans="1:11" ht="13.5" customHeight="1" x14ac:dyDescent="0.2">
      <c r="A13" s="872"/>
      <c r="B13" s="872"/>
      <c r="C13" s="872"/>
      <c r="D13" s="872"/>
      <c r="E13" s="872"/>
      <c r="F13" s="872"/>
      <c r="G13" s="872"/>
      <c r="H13" s="872"/>
      <c r="I13" s="872"/>
      <c r="J13" s="872"/>
      <c r="K13" s="872"/>
    </row>
    <row r="15" spans="1:11" ht="14.25" x14ac:dyDescent="0.2">
      <c r="A15" s="871" t="s">
        <v>857</v>
      </c>
      <c r="B15" s="871"/>
      <c r="C15" s="871"/>
      <c r="D15" s="871"/>
      <c r="E15" s="871"/>
      <c r="F15" s="871"/>
      <c r="G15" s="871"/>
      <c r="H15" s="871"/>
      <c r="I15" s="871"/>
      <c r="J15" s="871"/>
      <c r="K15" s="871"/>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34" zoomScaleNormal="100" workbookViewId="0">
      <selection activeCell="AF69" sqref="AF69:AG69"/>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32"/>
      <c r="Y1" s="933"/>
      <c r="Z1" s="933"/>
      <c r="AA1" s="933"/>
      <c r="AB1" s="933"/>
      <c r="AC1" s="933"/>
      <c r="AD1" s="933"/>
      <c r="AE1" s="933"/>
      <c r="AF1" s="933"/>
      <c r="AG1" s="933"/>
      <c r="AH1" s="933"/>
      <c r="AI1" s="933"/>
      <c r="AJ1" s="933"/>
      <c r="AK1" s="934"/>
      <c r="AL1" s="934"/>
      <c r="AM1" s="934"/>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44" t="s">
        <v>270</v>
      </c>
      <c r="C9" s="944"/>
      <c r="D9" s="944"/>
      <c r="E9" s="944"/>
      <c r="F9" s="944"/>
      <c r="G9" s="944"/>
      <c r="H9" s="944"/>
      <c r="I9" s="944"/>
      <c r="J9" s="87"/>
      <c r="K9" s="87"/>
      <c r="L9" s="87"/>
      <c r="M9" s="87"/>
      <c r="N9" s="87"/>
      <c r="O9" s="87"/>
      <c r="P9" s="87"/>
      <c r="Q9" s="87"/>
      <c r="R9" s="87"/>
      <c r="S9" s="87"/>
      <c r="T9" s="937" t="s">
        <v>484</v>
      </c>
      <c r="U9" s="937"/>
      <c r="V9" s="937"/>
      <c r="W9" s="937"/>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23" t="s">
        <v>888</v>
      </c>
      <c r="R14" s="924"/>
      <c r="S14" s="924"/>
      <c r="T14" s="924"/>
      <c r="U14" s="924"/>
      <c r="V14" s="924"/>
      <c r="W14" s="924"/>
      <c r="X14" s="924"/>
      <c r="Y14" s="924"/>
      <c r="Z14" s="924"/>
      <c r="AA14" s="924"/>
      <c r="AB14" s="924"/>
      <c r="AC14" s="924"/>
      <c r="AD14" s="924"/>
      <c r="AE14" s="924"/>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23" t="s">
        <v>887</v>
      </c>
      <c r="R16" s="924"/>
      <c r="S16" s="924"/>
      <c r="T16" s="924"/>
      <c r="U16" s="924"/>
      <c r="V16" s="924"/>
      <c r="W16" s="924"/>
      <c r="X16" s="924"/>
      <c r="Y16" s="924"/>
      <c r="Z16" s="924"/>
      <c r="AA16" s="924"/>
      <c r="AB16" s="924"/>
      <c r="AC16" s="924"/>
      <c r="AD16" s="924"/>
      <c r="AE16" s="924"/>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23" t="s">
        <v>889</v>
      </c>
      <c r="R18" s="924"/>
      <c r="S18" s="924"/>
      <c r="T18" s="924"/>
      <c r="U18" s="924"/>
      <c r="V18" s="924"/>
      <c r="W18" s="924"/>
      <c r="X18" s="924"/>
      <c r="Y18" s="924"/>
      <c r="Z18" s="924"/>
      <c r="AA18" s="924"/>
      <c r="AB18" s="924"/>
      <c r="AC18" s="924"/>
      <c r="AD18" s="924"/>
      <c r="AE18" s="924"/>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23" t="s">
        <v>890</v>
      </c>
      <c r="R20" s="924"/>
      <c r="S20" s="924"/>
      <c r="T20" s="924"/>
      <c r="U20" s="924"/>
      <c r="V20" s="924"/>
      <c r="W20" s="924"/>
      <c r="X20" s="924"/>
      <c r="Y20" s="924"/>
      <c r="Z20" s="924"/>
      <c r="AA20" s="924"/>
      <c r="AB20" s="924"/>
      <c r="AC20" s="924"/>
      <c r="AD20" s="924"/>
      <c r="AE20" s="924"/>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23" t="s">
        <v>891</v>
      </c>
      <c r="R22" s="924"/>
      <c r="S22" s="924"/>
      <c r="T22" s="924"/>
      <c r="U22" s="924"/>
      <c r="V22" s="924"/>
      <c r="W22" s="924"/>
      <c r="X22" s="924"/>
      <c r="Y22" s="924"/>
      <c r="Z22" s="924"/>
      <c r="AA22" s="924"/>
      <c r="AB22" s="924"/>
      <c r="AC22" s="924"/>
      <c r="AD22" s="924"/>
      <c r="AE22" s="924"/>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24">
        <v>123456789</v>
      </c>
      <c r="R24" s="924"/>
      <c r="S24" s="924"/>
      <c r="T24" s="924"/>
      <c r="U24" s="924"/>
      <c r="V24" s="924"/>
      <c r="W24" s="924"/>
      <c r="X24" s="924"/>
      <c r="Y24" s="924"/>
      <c r="Z24" s="924"/>
      <c r="AA24" s="924"/>
      <c r="AB24" s="924"/>
      <c r="AC24" s="924"/>
      <c r="AD24" s="924"/>
      <c r="AE24" s="924"/>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3"/>
      <c r="R25" s="833"/>
      <c r="S25" s="833"/>
      <c r="T25" s="833"/>
      <c r="U25" s="833"/>
      <c r="V25" s="833"/>
      <c r="W25" s="833"/>
      <c r="X25" s="833"/>
      <c r="Y25" s="833"/>
      <c r="Z25" s="833"/>
      <c r="AA25" s="833"/>
      <c r="AB25" s="833"/>
      <c r="AC25" s="833"/>
      <c r="AD25" s="833"/>
      <c r="AE25" s="833"/>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4" t="s">
        <v>707</v>
      </c>
      <c r="P26" s="67"/>
      <c r="Q26" s="938" t="s">
        <v>892</v>
      </c>
      <c r="R26" s="939"/>
      <c r="S26" s="939"/>
      <c r="T26" s="939"/>
      <c r="U26" s="939"/>
      <c r="V26" s="939"/>
      <c r="W26" s="939"/>
      <c r="X26" s="854" t="s">
        <v>47</v>
      </c>
      <c r="Y26" s="938" t="s">
        <v>893</v>
      </c>
      <c r="Z26" s="939"/>
      <c r="AA26" s="939"/>
      <c r="AB26" s="939"/>
      <c r="AC26" s="939"/>
      <c r="AD26" s="939"/>
      <c r="AE26" s="939"/>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4" t="s">
        <v>706</v>
      </c>
      <c r="P28" s="67"/>
      <c r="Q28" s="923" t="s">
        <v>894</v>
      </c>
      <c r="R28" s="924"/>
      <c r="S28" s="924"/>
      <c r="T28" s="924"/>
      <c r="U28" s="924"/>
      <c r="V28" s="924"/>
      <c r="W28" s="924"/>
      <c r="X28" s="924"/>
      <c r="Y28" s="924"/>
      <c r="Z28" s="924"/>
      <c r="AA28" s="924"/>
      <c r="AB28" s="924"/>
      <c r="AC28" s="924"/>
      <c r="AD28" s="924"/>
      <c r="AE28" s="924"/>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0"/>
      <c r="L34" s="254"/>
      <c r="M34" s="835"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5"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0"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25" t="s">
        <v>895</v>
      </c>
      <c r="M42" s="925"/>
      <c r="N42" s="925"/>
      <c r="O42" s="925"/>
      <c r="P42" s="925"/>
      <c r="Q42" s="925"/>
      <c r="R42" s="925"/>
      <c r="S42" s="925"/>
      <c r="T42" s="925"/>
      <c r="U42" s="925"/>
      <c r="V42" s="925"/>
      <c r="W42" s="925"/>
      <c r="X42" s="925"/>
      <c r="Y42" s="925"/>
      <c r="Z42" s="925"/>
      <c r="AA42" s="925"/>
      <c r="AB42" s="925"/>
      <c r="AC42" s="925"/>
      <c r="AD42" s="925"/>
      <c r="AE42" s="925"/>
      <c r="AF42" s="925"/>
      <c r="AG42" s="925"/>
      <c r="AH42" s="925"/>
      <c r="AI42" s="67"/>
      <c r="AJ42" s="67"/>
      <c r="AK42"/>
      <c r="AL42"/>
      <c r="AM42" s="60"/>
      <c r="AN42" s="52"/>
    </row>
    <row r="43" spans="1:40" x14ac:dyDescent="0.2">
      <c r="A43" s="52"/>
      <c r="B43" s="56"/>
      <c r="C43" s="57"/>
      <c r="D43" s="57"/>
      <c r="E43" s="57"/>
      <c r="F43" s="57"/>
      <c r="G43" s="57"/>
      <c r="H43" s="57"/>
      <c r="I43" s="57"/>
      <c r="J43" s="57"/>
      <c r="K43" s="57"/>
      <c r="L43" s="909" t="s">
        <v>896</v>
      </c>
      <c r="M43" s="909"/>
      <c r="N43" s="909"/>
      <c r="O43" s="909"/>
      <c r="P43" s="909"/>
      <c r="Q43" s="909"/>
      <c r="R43" s="909"/>
      <c r="S43" s="909"/>
      <c r="T43" s="909"/>
      <c r="U43" s="909"/>
      <c r="V43" s="909"/>
      <c r="W43" s="909"/>
      <c r="X43" s="909"/>
      <c r="Y43" s="909"/>
      <c r="Z43" s="909"/>
      <c r="AA43" s="909"/>
      <c r="AB43" s="909"/>
      <c r="AC43" s="909"/>
      <c r="AD43" s="909"/>
      <c r="AE43" s="909"/>
      <c r="AF43" s="909"/>
      <c r="AG43" s="909"/>
      <c r="AH43" s="909"/>
      <c r="AI43" s="67"/>
      <c r="AJ43" s="67"/>
      <c r="AK43"/>
      <c r="AL43"/>
      <c r="AM43" s="60"/>
      <c r="AN43" s="52"/>
    </row>
    <row r="44" spans="1:40" x14ac:dyDescent="0.2">
      <c r="A44" s="52"/>
      <c r="B44" s="56"/>
      <c r="C44" s="57"/>
      <c r="D44" s="57"/>
      <c r="E44" s="57"/>
      <c r="F44" s="57"/>
      <c r="G44" s="57"/>
      <c r="H44" s="57"/>
      <c r="I44" s="57"/>
      <c r="J44" s="57"/>
      <c r="K44" s="57"/>
      <c r="L44" s="909" t="s">
        <v>897</v>
      </c>
      <c r="M44" s="909"/>
      <c r="N44" s="909"/>
      <c r="O44" s="909"/>
      <c r="P44" s="909"/>
      <c r="Q44" s="909"/>
      <c r="R44" s="909"/>
      <c r="S44" s="909"/>
      <c r="T44" s="909"/>
      <c r="U44" s="909"/>
      <c r="V44" s="909"/>
      <c r="W44" s="909"/>
      <c r="X44" s="909"/>
      <c r="Y44" s="909"/>
      <c r="Z44" s="909"/>
      <c r="AA44" s="909"/>
      <c r="AB44" s="909"/>
      <c r="AC44" s="909"/>
      <c r="AD44" s="909"/>
      <c r="AE44" s="909"/>
      <c r="AF44" s="909"/>
      <c r="AG44" s="909"/>
      <c r="AH44" s="909"/>
      <c r="AI44" s="67"/>
      <c r="AJ44" s="67"/>
      <c r="AK44"/>
      <c r="AL44"/>
      <c r="AM44" s="60"/>
      <c r="AN44" s="52"/>
    </row>
    <row r="45" spans="1:40" x14ac:dyDescent="0.2">
      <c r="A45" s="52"/>
      <c r="B45" s="56"/>
      <c r="C45" s="57"/>
      <c r="D45" s="57"/>
      <c r="E45" s="57"/>
      <c r="F45" s="57"/>
      <c r="G45" s="57"/>
      <c r="H45" s="57"/>
      <c r="I45" s="57"/>
      <c r="J45" s="57"/>
      <c r="K45" s="57"/>
      <c r="L45" s="909" t="s">
        <v>898</v>
      </c>
      <c r="M45" s="909"/>
      <c r="N45" s="909"/>
      <c r="O45" s="909"/>
      <c r="P45" s="909"/>
      <c r="Q45" s="909"/>
      <c r="R45" s="909"/>
      <c r="S45" s="909"/>
      <c r="T45" s="909"/>
      <c r="U45" s="909"/>
      <c r="V45" s="909"/>
      <c r="W45" s="909"/>
      <c r="X45" s="909"/>
      <c r="Y45" s="909"/>
      <c r="Z45" s="909"/>
      <c r="AA45" s="909"/>
      <c r="AB45" s="909"/>
      <c r="AC45" s="909"/>
      <c r="AD45" s="909"/>
      <c r="AE45" s="909"/>
      <c r="AF45" s="909"/>
      <c r="AG45" s="909"/>
      <c r="AH45" s="909"/>
      <c r="AI45" s="67"/>
      <c r="AJ45" s="67"/>
      <c r="AK45"/>
      <c r="AL45"/>
      <c r="AM45" s="60"/>
      <c r="AN45" s="52"/>
    </row>
    <row r="46" spans="1:40" x14ac:dyDescent="0.2">
      <c r="A46" s="52"/>
      <c r="B46" s="56"/>
      <c r="C46" s="57"/>
      <c r="D46" s="57"/>
      <c r="E46" s="57"/>
      <c r="F46" s="57"/>
      <c r="G46" s="57"/>
      <c r="H46" s="57"/>
      <c r="I46" s="57"/>
      <c r="J46" s="57"/>
      <c r="K46" s="57"/>
      <c r="L46" s="909" t="s">
        <v>899</v>
      </c>
      <c r="M46" s="909"/>
      <c r="N46" s="909"/>
      <c r="O46" s="909"/>
      <c r="P46" s="909"/>
      <c r="Q46" s="909"/>
      <c r="R46" s="909"/>
      <c r="S46" s="909"/>
      <c r="T46" s="909"/>
      <c r="U46" s="909"/>
      <c r="V46" s="909"/>
      <c r="W46" s="909"/>
      <c r="X46" s="909"/>
      <c r="Y46" s="909"/>
      <c r="Z46" s="909"/>
      <c r="AA46" s="909"/>
      <c r="AB46" s="909"/>
      <c r="AC46" s="909"/>
      <c r="AD46" s="909"/>
      <c r="AE46" s="909"/>
      <c r="AF46" s="909"/>
      <c r="AG46" s="909"/>
      <c r="AH46" s="909"/>
      <c r="AI46" s="67"/>
      <c r="AJ46" s="67"/>
      <c r="AK46"/>
      <c r="AL46"/>
      <c r="AM46" s="60"/>
      <c r="AN46" s="52"/>
    </row>
    <row r="47" spans="1:40" x14ac:dyDescent="0.2">
      <c r="A47" s="52"/>
      <c r="B47" s="56"/>
      <c r="C47" s="57"/>
      <c r="D47" s="57"/>
      <c r="E47" s="57"/>
      <c r="F47" s="57"/>
      <c r="G47" s="57"/>
      <c r="H47" s="57"/>
      <c r="I47" s="57"/>
      <c r="J47" s="57"/>
      <c r="K47" s="57"/>
      <c r="L47" s="909" t="s">
        <v>900</v>
      </c>
      <c r="M47" s="909"/>
      <c r="N47" s="909"/>
      <c r="O47" s="909"/>
      <c r="P47" s="909"/>
      <c r="Q47" s="909"/>
      <c r="R47" s="909"/>
      <c r="S47" s="909"/>
      <c r="T47" s="909"/>
      <c r="U47" s="909"/>
      <c r="V47" s="909"/>
      <c r="W47" s="909"/>
      <c r="X47" s="909"/>
      <c r="Y47" s="909"/>
      <c r="Z47" s="909"/>
      <c r="AA47" s="909"/>
      <c r="AB47" s="909"/>
      <c r="AC47" s="909"/>
      <c r="AD47" s="909"/>
      <c r="AE47" s="909"/>
      <c r="AF47" s="909"/>
      <c r="AG47" s="909"/>
      <c r="AH47" s="909"/>
      <c r="AI47" s="67"/>
      <c r="AJ47" s="67"/>
      <c r="AK47"/>
      <c r="AL47"/>
      <c r="AM47" s="60"/>
      <c r="AN47" s="52"/>
    </row>
    <row r="48" spans="1:40" x14ac:dyDescent="0.2">
      <c r="A48" s="52"/>
      <c r="B48" s="83"/>
      <c r="C48" s="84"/>
      <c r="D48" s="85"/>
      <c r="E48" s="85"/>
      <c r="F48" s="85"/>
      <c r="G48" s="85"/>
      <c r="H48" s="86"/>
      <c r="I48" s="87"/>
      <c r="J48" s="87"/>
      <c r="K48" s="87"/>
      <c r="L48" s="909" t="s">
        <v>901</v>
      </c>
      <c r="M48" s="909"/>
      <c r="N48" s="909"/>
      <c r="O48" s="909"/>
      <c r="P48" s="909"/>
      <c r="Q48" s="909"/>
      <c r="R48" s="909"/>
      <c r="S48" s="909"/>
      <c r="T48" s="909"/>
      <c r="U48" s="909"/>
      <c r="V48" s="909"/>
      <c r="W48" s="909"/>
      <c r="X48" s="909"/>
      <c r="Y48" s="909"/>
      <c r="Z48" s="909"/>
      <c r="AA48" s="909"/>
      <c r="AB48" s="909"/>
      <c r="AC48" s="909"/>
      <c r="AD48" s="909"/>
      <c r="AE48" s="909"/>
      <c r="AF48" s="909"/>
      <c r="AG48" s="909"/>
      <c r="AH48" s="909"/>
      <c r="AI48" s="67"/>
      <c r="AJ48" s="67"/>
      <c r="AK48"/>
      <c r="AL48"/>
      <c r="AM48" s="60"/>
      <c r="AN48" s="52"/>
    </row>
    <row r="49" spans="1:40" x14ac:dyDescent="0.2">
      <c r="A49" s="52"/>
      <c r="B49" s="83"/>
      <c r="C49" s="84"/>
      <c r="D49" s="85"/>
      <c r="E49" s="85"/>
      <c r="F49" s="85"/>
      <c r="G49" s="85"/>
      <c r="H49" s="86"/>
      <c r="I49" s="87"/>
      <c r="J49" s="87"/>
      <c r="K49" s="87"/>
      <c r="L49" s="909" t="s">
        <v>902</v>
      </c>
      <c r="M49" s="909"/>
      <c r="N49" s="909"/>
      <c r="O49" s="909"/>
      <c r="P49" s="909"/>
      <c r="Q49" s="909"/>
      <c r="R49" s="909"/>
      <c r="S49" s="909"/>
      <c r="T49" s="909"/>
      <c r="U49" s="909"/>
      <c r="V49" s="909"/>
      <c r="W49" s="909"/>
      <c r="X49" s="909"/>
      <c r="Y49" s="909"/>
      <c r="Z49" s="909"/>
      <c r="AA49" s="909"/>
      <c r="AB49" s="909"/>
      <c r="AC49" s="909"/>
      <c r="AD49" s="909"/>
      <c r="AE49" s="909"/>
      <c r="AF49" s="909"/>
      <c r="AG49" s="909"/>
      <c r="AH49" s="909"/>
      <c r="AI49" s="67"/>
      <c r="AJ49" s="67"/>
      <c r="AK49"/>
      <c r="AL49"/>
      <c r="AM49" s="60"/>
      <c r="AN49" s="52"/>
    </row>
    <row r="50" spans="1:40" x14ac:dyDescent="0.2">
      <c r="A50" s="52"/>
      <c r="B50" s="83"/>
      <c r="C50" s="84"/>
      <c r="D50" s="85"/>
      <c r="E50" s="85"/>
      <c r="F50" s="85"/>
      <c r="G50" s="85"/>
      <c r="H50" s="86"/>
      <c r="I50" s="87"/>
      <c r="J50" s="87"/>
      <c r="K50" s="87"/>
      <c r="L50" s="909" t="s">
        <v>903</v>
      </c>
      <c r="M50" s="909"/>
      <c r="N50" s="909"/>
      <c r="O50" s="909"/>
      <c r="P50" s="909"/>
      <c r="Q50" s="909"/>
      <c r="R50" s="909"/>
      <c r="S50" s="909"/>
      <c r="T50" s="909"/>
      <c r="U50" s="909"/>
      <c r="V50" s="909"/>
      <c r="W50" s="909"/>
      <c r="X50" s="909"/>
      <c r="Y50" s="909"/>
      <c r="Z50" s="909"/>
      <c r="AA50" s="909"/>
      <c r="AB50" s="909"/>
      <c r="AC50" s="909"/>
      <c r="AD50" s="909"/>
      <c r="AE50" s="909"/>
      <c r="AF50" s="909"/>
      <c r="AG50" s="909"/>
      <c r="AH50" s="909"/>
      <c r="AI50" s="67"/>
      <c r="AJ50" s="67"/>
      <c r="AK50"/>
      <c r="AL50"/>
      <c r="AM50" s="60"/>
      <c r="AN50" s="52"/>
    </row>
    <row r="51" spans="1:40" x14ac:dyDescent="0.2">
      <c r="A51" s="52"/>
      <c r="B51" s="56"/>
      <c r="C51" s="57"/>
      <c r="D51" s="85"/>
      <c r="E51" s="85"/>
      <c r="F51" s="85"/>
      <c r="G51" s="85"/>
      <c r="H51" s="86"/>
      <c r="I51" s="87"/>
      <c r="J51" s="87"/>
      <c r="K51" s="87"/>
      <c r="L51" s="909" t="s">
        <v>904</v>
      </c>
      <c r="M51" s="909"/>
      <c r="N51" s="909"/>
      <c r="O51" s="909"/>
      <c r="P51" s="909"/>
      <c r="Q51" s="909"/>
      <c r="R51" s="909"/>
      <c r="S51" s="909"/>
      <c r="T51" s="909"/>
      <c r="U51" s="909"/>
      <c r="V51" s="909"/>
      <c r="W51" s="909"/>
      <c r="X51" s="909"/>
      <c r="Y51" s="909"/>
      <c r="Z51" s="909"/>
      <c r="AA51" s="909"/>
      <c r="AB51" s="909"/>
      <c r="AC51" s="909"/>
      <c r="AD51" s="909"/>
      <c r="AE51" s="909"/>
      <c r="AF51" s="909"/>
      <c r="AG51" s="909"/>
      <c r="AH51" s="909"/>
      <c r="AI51" s="67"/>
      <c r="AJ51" s="67"/>
      <c r="AK51"/>
      <c r="AL51"/>
      <c r="AM51" s="60"/>
      <c r="AN51" s="52"/>
    </row>
    <row r="52" spans="1:40" x14ac:dyDescent="0.2">
      <c r="A52" s="52"/>
      <c r="B52" s="83"/>
      <c r="C52" s="84"/>
      <c r="D52" s="85"/>
      <c r="E52" s="85"/>
      <c r="F52" s="85"/>
      <c r="G52" s="85"/>
      <c r="H52" s="88"/>
      <c r="I52" s="89"/>
      <c r="J52" s="89"/>
      <c r="K52" s="89"/>
      <c r="L52" s="943" t="s">
        <v>905</v>
      </c>
      <c r="M52" s="943"/>
      <c r="N52" s="943"/>
      <c r="O52" s="943"/>
      <c r="P52" s="943"/>
      <c r="Q52" s="943"/>
      <c r="R52" s="943"/>
      <c r="S52" s="943"/>
      <c r="T52" s="943"/>
      <c r="U52" s="943"/>
      <c r="V52" s="943"/>
      <c r="W52" s="943"/>
      <c r="X52" s="943"/>
      <c r="Y52" s="943"/>
      <c r="Z52" s="943"/>
      <c r="AA52" s="943"/>
      <c r="AB52" s="943"/>
      <c r="AC52" s="943"/>
      <c r="AD52" s="943"/>
      <c r="AE52" s="943"/>
      <c r="AF52" s="943"/>
      <c r="AG52" s="943"/>
      <c r="AH52" s="943"/>
      <c r="AI52" s="67"/>
      <c r="AJ52" s="67"/>
      <c r="AK52"/>
      <c r="AL52"/>
      <c r="AM52" s="60"/>
      <c r="AN52" s="52"/>
    </row>
    <row r="53" spans="1:40" x14ac:dyDescent="0.2">
      <c r="A53" s="52"/>
      <c r="B53" s="562"/>
      <c r="C53" s="438"/>
      <c r="D53" s="438"/>
      <c r="E53" s="438"/>
      <c r="F53" s="877" t="s">
        <v>523</v>
      </c>
      <c r="G53" s="878"/>
      <c r="H53" s="878"/>
      <c r="I53" s="878"/>
      <c r="J53" s="878"/>
      <c r="K53" s="878"/>
      <c r="L53" s="878"/>
      <c r="M53" s="878"/>
      <c r="N53" s="878"/>
      <c r="O53" s="878"/>
      <c r="P53" s="878"/>
      <c r="Q53" s="878"/>
      <c r="R53" s="878"/>
      <c r="S53" s="878"/>
      <c r="T53" s="878"/>
      <c r="U53" s="878"/>
      <c r="V53" s="878"/>
      <c r="W53" s="878"/>
      <c r="X53" s="878"/>
      <c r="Y53" s="878"/>
      <c r="Z53" s="878"/>
      <c r="AA53" s="878"/>
      <c r="AB53" s="878"/>
      <c r="AC53" s="878"/>
      <c r="AD53" s="878"/>
      <c r="AE53" s="878"/>
      <c r="AF53" s="878"/>
      <c r="AG53" s="878"/>
      <c r="AH53" s="878"/>
      <c r="AI53" s="878"/>
      <c r="AJ53" s="878"/>
      <c r="AK53" s="878"/>
      <c r="AL53" s="879"/>
      <c r="AM53" s="60"/>
      <c r="AN53" s="52"/>
    </row>
    <row r="54" spans="1:40" x14ac:dyDescent="0.2">
      <c r="A54" s="52"/>
      <c r="B54" s="562"/>
      <c r="C54" s="438"/>
      <c r="D54" s="438"/>
      <c r="E54" s="443"/>
      <c r="F54" s="940" t="s">
        <v>521</v>
      </c>
      <c r="G54" s="941"/>
      <c r="H54" s="941"/>
      <c r="I54" s="941"/>
      <c r="J54" s="941"/>
      <c r="K54" s="941"/>
      <c r="L54" s="941"/>
      <c r="M54" s="941"/>
      <c r="N54" s="942"/>
      <c r="O54" s="880" t="s">
        <v>522</v>
      </c>
      <c r="P54" s="881"/>
      <c r="Q54" s="947" t="s">
        <v>521</v>
      </c>
      <c r="R54" s="948"/>
      <c r="S54" s="948"/>
      <c r="T54" s="948"/>
      <c r="U54" s="948"/>
      <c r="V54" s="948"/>
      <c r="W54" s="948"/>
      <c r="X54" s="948"/>
      <c r="Y54" s="949"/>
      <c r="Z54" s="880" t="s">
        <v>522</v>
      </c>
      <c r="AA54" s="881"/>
      <c r="AB54" s="947" t="s">
        <v>521</v>
      </c>
      <c r="AC54" s="948"/>
      <c r="AD54" s="948"/>
      <c r="AE54" s="948"/>
      <c r="AF54" s="948"/>
      <c r="AG54" s="948"/>
      <c r="AH54" s="948"/>
      <c r="AI54" s="948"/>
      <c r="AJ54" s="949"/>
      <c r="AK54" s="880" t="s">
        <v>522</v>
      </c>
      <c r="AL54" s="881"/>
      <c r="AM54" s="60"/>
      <c r="AN54" s="52"/>
    </row>
    <row r="55" spans="1:40" x14ac:dyDescent="0.2">
      <c r="A55" s="52"/>
      <c r="B55" s="563" t="s">
        <v>112</v>
      </c>
      <c r="C55" s="438"/>
      <c r="D55" s="438"/>
      <c r="E55" s="443"/>
      <c r="F55" s="929" t="s">
        <v>906</v>
      </c>
      <c r="G55" s="930"/>
      <c r="H55" s="930"/>
      <c r="I55" s="930"/>
      <c r="J55" s="930"/>
      <c r="K55" s="930"/>
      <c r="L55" s="930"/>
      <c r="M55" s="930"/>
      <c r="N55" s="931"/>
      <c r="O55" s="957"/>
      <c r="P55" s="958"/>
      <c r="Q55" s="926"/>
      <c r="R55" s="927"/>
      <c r="S55" s="927"/>
      <c r="T55" s="927"/>
      <c r="U55" s="927"/>
      <c r="V55" s="927"/>
      <c r="W55" s="927"/>
      <c r="X55" s="927"/>
      <c r="Y55" s="928"/>
      <c r="Z55" s="882"/>
      <c r="AA55" s="883"/>
      <c r="AB55" s="926"/>
      <c r="AC55" s="927"/>
      <c r="AD55" s="927"/>
      <c r="AE55" s="927"/>
      <c r="AF55" s="927"/>
      <c r="AG55" s="927"/>
      <c r="AH55" s="927"/>
      <c r="AI55" s="927"/>
      <c r="AJ55" s="928"/>
      <c r="AK55" s="882"/>
      <c r="AL55" s="883"/>
      <c r="AM55" s="60"/>
      <c r="AN55" s="52"/>
    </row>
    <row r="56" spans="1:40" x14ac:dyDescent="0.2">
      <c r="A56" s="52"/>
      <c r="B56" s="563" t="s">
        <v>520</v>
      </c>
      <c r="C56" s="438"/>
      <c r="D56" s="438"/>
      <c r="E56" s="443"/>
      <c r="F56" s="887" t="s">
        <v>907</v>
      </c>
      <c r="G56" s="888"/>
      <c r="H56" s="888"/>
      <c r="I56" s="888"/>
      <c r="J56" s="888"/>
      <c r="K56" s="888"/>
      <c r="L56" s="888"/>
      <c r="M56" s="888"/>
      <c r="N56" s="889"/>
      <c r="O56" s="890"/>
      <c r="P56" s="891"/>
      <c r="Q56" s="892"/>
      <c r="R56" s="893"/>
      <c r="S56" s="893"/>
      <c r="T56" s="893"/>
      <c r="U56" s="893"/>
      <c r="V56" s="893"/>
      <c r="W56" s="893"/>
      <c r="X56" s="893"/>
      <c r="Y56" s="894"/>
      <c r="Z56" s="904"/>
      <c r="AA56" s="905"/>
      <c r="AB56" s="892"/>
      <c r="AC56" s="893"/>
      <c r="AD56" s="893"/>
      <c r="AE56" s="893"/>
      <c r="AF56" s="893"/>
      <c r="AG56" s="893"/>
      <c r="AH56" s="893"/>
      <c r="AI56" s="893"/>
      <c r="AJ56" s="894"/>
      <c r="AK56" s="904"/>
      <c r="AL56" s="905"/>
      <c r="AM56" s="60"/>
      <c r="AN56" s="52"/>
    </row>
    <row r="57" spans="1:40" x14ac:dyDescent="0.2">
      <c r="A57" s="52"/>
      <c r="B57" s="563" t="s">
        <v>173</v>
      </c>
      <c r="C57" s="438"/>
      <c r="D57" s="438"/>
      <c r="E57" s="443"/>
      <c r="F57" s="887" t="s">
        <v>908</v>
      </c>
      <c r="G57" s="888"/>
      <c r="H57" s="888"/>
      <c r="I57" s="888"/>
      <c r="J57" s="888"/>
      <c r="K57" s="888"/>
      <c r="L57" s="888"/>
      <c r="M57" s="888"/>
      <c r="N57" s="889"/>
      <c r="O57" s="890"/>
      <c r="P57" s="891"/>
      <c r="Q57" s="892"/>
      <c r="R57" s="893"/>
      <c r="S57" s="893"/>
      <c r="T57" s="893"/>
      <c r="U57" s="893"/>
      <c r="V57" s="893"/>
      <c r="W57" s="893"/>
      <c r="X57" s="893"/>
      <c r="Y57" s="894"/>
      <c r="Z57" s="904"/>
      <c r="AA57" s="905"/>
      <c r="AB57" s="892"/>
      <c r="AC57" s="893"/>
      <c r="AD57" s="893"/>
      <c r="AE57" s="893"/>
      <c r="AF57" s="893"/>
      <c r="AG57" s="893"/>
      <c r="AH57" s="893"/>
      <c r="AI57" s="893"/>
      <c r="AJ57" s="894"/>
      <c r="AK57" s="904"/>
      <c r="AL57" s="905"/>
      <c r="AM57" s="60"/>
      <c r="AN57" s="52"/>
    </row>
    <row r="58" spans="1:40" x14ac:dyDescent="0.2">
      <c r="A58" s="52"/>
      <c r="B58" s="563" t="s">
        <v>141</v>
      </c>
      <c r="C58" s="438"/>
      <c r="D58" s="438"/>
      <c r="E58" s="443"/>
      <c r="F58" s="914" t="s">
        <v>909</v>
      </c>
      <c r="G58" s="915"/>
      <c r="H58" s="915"/>
      <c r="I58" s="915"/>
      <c r="J58" s="915"/>
      <c r="K58" s="915"/>
      <c r="L58" s="915"/>
      <c r="M58" s="915"/>
      <c r="N58" s="916"/>
      <c r="O58" s="895"/>
      <c r="P58" s="896"/>
      <c r="Q58" s="899"/>
      <c r="R58" s="900"/>
      <c r="S58" s="900"/>
      <c r="T58" s="900"/>
      <c r="U58" s="900"/>
      <c r="V58" s="900"/>
      <c r="W58" s="900"/>
      <c r="X58" s="900"/>
      <c r="Y58" s="901"/>
      <c r="Z58" s="885"/>
      <c r="AA58" s="886"/>
      <c r="AB58" s="899"/>
      <c r="AC58" s="900"/>
      <c r="AD58" s="900"/>
      <c r="AE58" s="900"/>
      <c r="AF58" s="900"/>
      <c r="AG58" s="900"/>
      <c r="AH58" s="900"/>
      <c r="AI58" s="900"/>
      <c r="AJ58" s="901"/>
      <c r="AK58" s="885"/>
      <c r="AL58" s="886"/>
      <c r="AM58" s="60"/>
      <c r="AN58" s="52"/>
    </row>
    <row r="59" spans="1:40" x14ac:dyDescent="0.2">
      <c r="A59" s="52"/>
      <c r="B59" s="563" t="s">
        <v>524</v>
      </c>
      <c r="C59" s="438"/>
      <c r="D59" s="438"/>
      <c r="E59" s="438"/>
      <c r="F59" s="438"/>
      <c r="G59" s="438"/>
      <c r="H59" s="439"/>
      <c r="I59" s="439"/>
      <c r="J59" s="439"/>
      <c r="K59" s="439"/>
      <c r="L59" s="440"/>
      <c r="M59" s="912" t="s">
        <v>910</v>
      </c>
      <c r="N59" s="913"/>
      <c r="O59" s="913"/>
      <c r="P59" s="913"/>
      <c r="Q59" s="913"/>
      <c r="R59" s="913"/>
      <c r="S59" s="913"/>
      <c r="T59" s="913"/>
      <c r="U59" s="913"/>
      <c r="V59" s="441"/>
      <c r="W59" s="441"/>
      <c r="X59" s="441"/>
      <c r="Y59" s="442"/>
      <c r="Z59" s="370"/>
      <c r="AA59" s="180"/>
      <c r="AB59" s="3"/>
      <c r="AC59" s="3"/>
      <c r="AD59" s="564"/>
      <c r="AE59" s="564"/>
      <c r="AF59" s="564"/>
      <c r="AG59" s="564"/>
      <c r="AH59" s="564"/>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55"/>
      <c r="C63" s="956"/>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74" t="s">
        <v>274</v>
      </c>
      <c r="C64" s="875"/>
      <c r="D64" s="211"/>
      <c r="E64" s="954">
        <v>41791</v>
      </c>
      <c r="F64" s="954"/>
      <c r="G64" s="954"/>
      <c r="H64" s="954"/>
      <c r="I64" s="212"/>
      <c r="J64" s="76"/>
      <c r="K64" s="876" t="s">
        <v>934</v>
      </c>
      <c r="L64" s="876"/>
      <c r="M64" s="876"/>
      <c r="N64" s="876"/>
      <c r="O64" s="876"/>
      <c r="P64" s="876"/>
      <c r="Q64" s="876"/>
      <c r="R64" s="876"/>
      <c r="S64" s="876"/>
      <c r="T64" s="876"/>
      <c r="U64" s="876"/>
      <c r="V64" s="876"/>
      <c r="W64" s="876"/>
      <c r="X64" s="876"/>
      <c r="Y64" s="876"/>
      <c r="Z64" s="876"/>
      <c r="AA64" s="76"/>
      <c r="AB64" s="935" t="s">
        <v>935</v>
      </c>
      <c r="AC64" s="936"/>
      <c r="AD64" s="935" t="s">
        <v>912</v>
      </c>
      <c r="AE64" s="936"/>
      <c r="AF64" s="935" t="s">
        <v>911</v>
      </c>
      <c r="AG64" s="936"/>
      <c r="AH64" s="935"/>
      <c r="AI64" s="936"/>
      <c r="AJ64" s="935"/>
      <c r="AK64" s="936"/>
      <c r="AL64" s="935"/>
      <c r="AM64" s="950"/>
      <c r="AN64" s="52"/>
    </row>
    <row r="65" spans="1:40" x14ac:dyDescent="0.2">
      <c r="A65" s="254"/>
      <c r="B65" s="874"/>
      <c r="C65" s="875"/>
      <c r="D65" s="213"/>
      <c r="E65" s="884"/>
      <c r="F65" s="884"/>
      <c r="G65" s="884"/>
      <c r="H65" s="884"/>
      <c r="I65" s="214"/>
      <c r="J65" s="215"/>
      <c r="K65" s="876"/>
      <c r="L65" s="876"/>
      <c r="M65" s="876"/>
      <c r="N65" s="876"/>
      <c r="O65" s="876"/>
      <c r="P65" s="876"/>
      <c r="Q65" s="876"/>
      <c r="R65" s="876"/>
      <c r="S65" s="876"/>
      <c r="T65" s="876"/>
      <c r="U65" s="876"/>
      <c r="V65" s="876"/>
      <c r="W65" s="876"/>
      <c r="X65" s="876"/>
      <c r="Y65" s="876"/>
      <c r="Z65" s="876"/>
      <c r="AA65" s="215"/>
      <c r="AB65" s="902"/>
      <c r="AC65" s="903"/>
      <c r="AD65" s="902"/>
      <c r="AE65" s="903"/>
      <c r="AF65" s="902"/>
      <c r="AG65" s="903"/>
      <c r="AH65" s="902"/>
      <c r="AI65" s="903"/>
      <c r="AJ65" s="902"/>
      <c r="AK65" s="903"/>
      <c r="AL65" s="902"/>
      <c r="AM65" s="951"/>
      <c r="AN65" s="52"/>
    </row>
    <row r="66" spans="1:40" x14ac:dyDescent="0.2">
      <c r="A66" s="254"/>
      <c r="B66" s="874"/>
      <c r="C66" s="875"/>
      <c r="D66" s="216"/>
      <c r="E66" s="884"/>
      <c r="F66" s="884"/>
      <c r="G66" s="884"/>
      <c r="H66" s="884"/>
      <c r="I66" s="217"/>
      <c r="J66" s="216"/>
      <c r="K66" s="876"/>
      <c r="L66" s="876"/>
      <c r="M66" s="876"/>
      <c r="N66" s="876"/>
      <c r="O66" s="876"/>
      <c r="P66" s="876"/>
      <c r="Q66" s="876"/>
      <c r="R66" s="876"/>
      <c r="S66" s="876"/>
      <c r="T66" s="876"/>
      <c r="U66" s="876"/>
      <c r="V66" s="876"/>
      <c r="W66" s="876"/>
      <c r="X66" s="876"/>
      <c r="Y66" s="876"/>
      <c r="Z66" s="876"/>
      <c r="AA66" s="217"/>
      <c r="AB66" s="902"/>
      <c r="AC66" s="903"/>
      <c r="AD66" s="902"/>
      <c r="AE66" s="903"/>
      <c r="AF66" s="902"/>
      <c r="AG66" s="903"/>
      <c r="AH66" s="902"/>
      <c r="AI66" s="903"/>
      <c r="AJ66" s="902"/>
      <c r="AK66" s="903"/>
      <c r="AL66" s="902"/>
      <c r="AM66" s="951"/>
      <c r="AN66" s="52"/>
    </row>
    <row r="67" spans="1:40" x14ac:dyDescent="0.2">
      <c r="A67" s="254"/>
      <c r="B67" s="874"/>
      <c r="C67" s="875"/>
      <c r="D67" s="216"/>
      <c r="E67" s="884"/>
      <c r="F67" s="884"/>
      <c r="G67" s="884"/>
      <c r="H67" s="884"/>
      <c r="I67" s="217"/>
      <c r="J67" s="216"/>
      <c r="K67" s="876"/>
      <c r="L67" s="876"/>
      <c r="M67" s="876"/>
      <c r="N67" s="876"/>
      <c r="O67" s="876"/>
      <c r="P67" s="876"/>
      <c r="Q67" s="876"/>
      <c r="R67" s="876"/>
      <c r="S67" s="876"/>
      <c r="T67" s="876"/>
      <c r="U67" s="876"/>
      <c r="V67" s="876"/>
      <c r="W67" s="876"/>
      <c r="X67" s="876"/>
      <c r="Y67" s="876"/>
      <c r="Z67" s="876"/>
      <c r="AA67" s="217"/>
      <c r="AB67" s="902"/>
      <c r="AC67" s="903"/>
      <c r="AD67" s="902"/>
      <c r="AE67" s="903"/>
      <c r="AF67" s="902"/>
      <c r="AG67" s="903"/>
      <c r="AH67" s="902"/>
      <c r="AI67" s="903"/>
      <c r="AJ67" s="902"/>
      <c r="AK67" s="903"/>
      <c r="AL67" s="902"/>
      <c r="AM67" s="951"/>
      <c r="AN67" s="52"/>
    </row>
    <row r="68" spans="1:40" ht="13.5" thickBot="1" x14ac:dyDescent="0.25">
      <c r="A68" s="254"/>
      <c r="B68" s="945"/>
      <c r="C68" s="946"/>
      <c r="D68" s="218"/>
      <c r="E68" s="953"/>
      <c r="F68" s="953"/>
      <c r="G68" s="953"/>
      <c r="H68" s="953"/>
      <c r="I68" s="219"/>
      <c r="J68" s="218"/>
      <c r="K68" s="917"/>
      <c r="L68" s="917"/>
      <c r="M68" s="917"/>
      <c r="N68" s="917"/>
      <c r="O68" s="917"/>
      <c r="P68" s="917"/>
      <c r="Q68" s="917"/>
      <c r="R68" s="917"/>
      <c r="S68" s="917"/>
      <c r="T68" s="917"/>
      <c r="U68" s="917"/>
      <c r="V68" s="917"/>
      <c r="W68" s="917"/>
      <c r="X68" s="917"/>
      <c r="Y68" s="917"/>
      <c r="Z68" s="917"/>
      <c r="AA68" s="219"/>
      <c r="AB68" s="897"/>
      <c r="AC68" s="898"/>
      <c r="AD68" s="897"/>
      <c r="AE68" s="898"/>
      <c r="AF68" s="897"/>
      <c r="AG68" s="898"/>
      <c r="AH68" s="897"/>
      <c r="AI68" s="898"/>
      <c r="AJ68" s="897"/>
      <c r="AK68" s="898"/>
      <c r="AL68" s="897"/>
      <c r="AM68" s="952"/>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907" t="s">
        <v>10</v>
      </c>
      <c r="AC69" s="908"/>
      <c r="AD69" s="918" t="s">
        <v>11</v>
      </c>
      <c r="AE69" s="920"/>
      <c r="AF69" s="907" t="s">
        <v>936</v>
      </c>
      <c r="AG69" s="908"/>
      <c r="AH69" s="921"/>
      <c r="AI69" s="922"/>
      <c r="AJ69" s="921"/>
      <c r="AK69" s="922"/>
      <c r="AL69" s="918"/>
      <c r="AM69" s="91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10"/>
      <c r="AD72" s="911"/>
      <c r="AE72" s="911"/>
      <c r="AF72" s="911"/>
      <c r="AG72" s="911"/>
      <c r="AH72" s="911"/>
      <c r="AI72" s="911"/>
      <c r="AJ72" s="911"/>
      <c r="AK72" s="911"/>
      <c r="AL72" s="91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06"/>
      <c r="AH74" s="906"/>
      <c r="AI74" s="267" t="s">
        <v>269</v>
      </c>
      <c r="AJ74" s="906" t="str">
        <f>IF(C_PageNo_Total=0,"",C_PageNo_Total)</f>
        <v/>
      </c>
      <c r="AK74" s="906"/>
      <c r="AL74" s="404"/>
      <c r="AM74" s="405"/>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11">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B67:C67"/>
    <mergeCell ref="AB56:AJ56"/>
    <mergeCell ref="AH64:AI64"/>
    <mergeCell ref="E67:H67"/>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L45:AH45"/>
    <mergeCell ref="L46:AH46"/>
    <mergeCell ref="B9:I9"/>
    <mergeCell ref="Q14:AE14"/>
    <mergeCell ref="Q18:AE18"/>
    <mergeCell ref="L47:AH47"/>
    <mergeCell ref="Q16:AE16"/>
    <mergeCell ref="Q20:AE20"/>
    <mergeCell ref="Q22:AE22"/>
    <mergeCell ref="L42:AH42"/>
    <mergeCell ref="AB55:AJ55"/>
    <mergeCell ref="Q55:Y55"/>
    <mergeCell ref="F55:N55"/>
    <mergeCell ref="L49:AH49"/>
    <mergeCell ref="L50:AH50"/>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7:Z67"/>
    <mergeCell ref="Q58:Y58"/>
    <mergeCell ref="AF68:AG68"/>
    <mergeCell ref="AK58:AL58"/>
    <mergeCell ref="AB58:AJ58"/>
    <mergeCell ref="AF66:AG66"/>
    <mergeCell ref="AH66:AI66"/>
    <mergeCell ref="AK57:AL57"/>
    <mergeCell ref="AB57:AJ57"/>
    <mergeCell ref="AH68:AI68"/>
    <mergeCell ref="AB67:AC67"/>
    <mergeCell ref="AD67:AE67"/>
    <mergeCell ref="AB68:AC68"/>
    <mergeCell ref="AD68:AE68"/>
    <mergeCell ref="B64:C64"/>
    <mergeCell ref="B66:C66"/>
    <mergeCell ref="B65:C65"/>
    <mergeCell ref="K64:Z64"/>
    <mergeCell ref="F53:AL53"/>
    <mergeCell ref="Z54:AA54"/>
    <mergeCell ref="Z55:AA55"/>
    <mergeCell ref="E66:H66"/>
    <mergeCell ref="K66:Z66"/>
    <mergeCell ref="Z58:AA58"/>
    <mergeCell ref="F57:N57"/>
    <mergeCell ref="O56:P56"/>
    <mergeCell ref="Q56:Y56"/>
    <mergeCell ref="O57:P57"/>
    <mergeCell ref="O58:P58"/>
    <mergeCell ref="Q57:Y57"/>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AS49" sqref="AS49"/>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3"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141"/>
      <c r="AN1" s="669"/>
    </row>
    <row r="2" spans="1:40" ht="13.35" customHeight="1" x14ac:dyDescent="0.2">
      <c r="A2" s="606"/>
      <c r="B2" s="240"/>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142"/>
      <c r="AN2" s="704"/>
    </row>
    <row r="3" spans="1:40" ht="9" customHeight="1" x14ac:dyDescent="0.2">
      <c r="A3" s="705"/>
      <c r="B3" s="706"/>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1"/>
    </row>
    <row r="4" spans="1:40" x14ac:dyDescent="0.2">
      <c r="A4" s="707">
        <v>1</v>
      </c>
      <c r="B4" s="708" t="s">
        <v>182</v>
      </c>
      <c r="C4" s="709" t="s">
        <v>15</v>
      </c>
      <c r="D4" s="709"/>
      <c r="E4" s="709"/>
      <c r="F4" s="709"/>
      <c r="G4" s="709"/>
      <c r="H4" s="1022" t="s">
        <v>915</v>
      </c>
      <c r="I4" s="1023"/>
      <c r="J4" s="1023"/>
      <c r="K4" s="1023"/>
      <c r="L4" s="1023"/>
      <c r="M4" s="710"/>
      <c r="N4" s="709"/>
      <c r="O4" s="711"/>
      <c r="Q4" s="709"/>
      <c r="R4" s="710"/>
      <c r="S4" s="712"/>
      <c r="T4" s="711"/>
      <c r="U4" s="713"/>
      <c r="V4" s="709"/>
      <c r="W4" s="712"/>
      <c r="X4" s="725" t="s">
        <v>579</v>
      </c>
      <c r="Y4" s="1025" t="s">
        <v>914</v>
      </c>
      <c r="Z4" s="1025"/>
      <c r="AA4" s="1025"/>
      <c r="AB4" s="1025"/>
      <c r="AC4" s="1025"/>
      <c r="AD4" s="1005" t="str">
        <f>IF(Y4="OTHER","SPECIFY","")</f>
        <v/>
      </c>
      <c r="AE4" s="1005"/>
      <c r="AF4" s="1005"/>
      <c r="AG4" s="714"/>
      <c r="AH4" s="1004"/>
      <c r="AI4" s="1004"/>
      <c r="AJ4" s="1004"/>
      <c r="AK4" s="1004"/>
      <c r="AL4" s="1004"/>
      <c r="AM4" s="41"/>
      <c r="AN4" s="614" t="s">
        <v>7</v>
      </c>
    </row>
    <row r="5" spans="1:40" x14ac:dyDescent="0.2">
      <c r="A5" s="566">
        <f>A4+1</f>
        <v>2</v>
      </c>
      <c r="B5" s="715"/>
      <c r="C5" s="709" t="s">
        <v>17</v>
      </c>
      <c r="D5" s="709"/>
      <c r="E5" s="716"/>
      <c r="F5" s="1026"/>
      <c r="G5" s="1026"/>
      <c r="H5" s="1026"/>
      <c r="I5" s="1026"/>
      <c r="J5" s="1026"/>
      <c r="K5" s="1026"/>
      <c r="L5" s="1026"/>
      <c r="M5" s="1026"/>
      <c r="N5" s="1026"/>
      <c r="O5" s="1026"/>
      <c r="P5" s="1026"/>
      <c r="Q5" s="1026"/>
      <c r="R5" s="1026"/>
      <c r="S5" s="1026"/>
      <c r="T5" s="1026"/>
      <c r="U5" s="716"/>
      <c r="V5" s="709" t="s">
        <v>18</v>
      </c>
      <c r="W5" s="717"/>
      <c r="X5" s="718"/>
      <c r="Y5" s="976" t="s">
        <v>929</v>
      </c>
      <c r="Z5" s="976"/>
      <c r="AA5" s="976"/>
      <c r="AB5" s="976"/>
      <c r="AC5" s="976"/>
      <c r="AD5" s="976"/>
      <c r="AE5" s="976"/>
      <c r="AF5" s="976"/>
      <c r="AG5" s="976"/>
      <c r="AH5" s="976"/>
      <c r="AI5" s="976"/>
      <c r="AJ5" s="976"/>
      <c r="AK5" s="976"/>
      <c r="AL5" s="976"/>
      <c r="AM5" s="143"/>
      <c r="AN5" s="719"/>
    </row>
    <row r="6" spans="1:40" x14ac:dyDescent="0.2">
      <c r="A6" s="566">
        <f>A5+1</f>
        <v>3</v>
      </c>
      <c r="B6" s="720"/>
      <c r="C6" s="709" t="s">
        <v>19</v>
      </c>
      <c r="D6" s="709"/>
      <c r="E6" s="721"/>
      <c r="F6" s="1026" t="s">
        <v>926</v>
      </c>
      <c r="G6" s="1026"/>
      <c r="H6" s="1026"/>
      <c r="I6" s="1026"/>
      <c r="J6" s="1026"/>
      <c r="K6" s="1026"/>
      <c r="L6" s="1026"/>
      <c r="M6" s="1026"/>
      <c r="N6" s="1026"/>
      <c r="O6" s="1026"/>
      <c r="P6" s="1026"/>
      <c r="Q6" s="1026"/>
      <c r="R6" s="1026"/>
      <c r="S6" s="1026"/>
      <c r="T6" s="1026"/>
      <c r="U6" s="721"/>
      <c r="V6" s="709" t="s">
        <v>20</v>
      </c>
      <c r="W6" s="722"/>
      <c r="X6" s="722"/>
      <c r="Y6" s="986" t="s">
        <v>891</v>
      </c>
      <c r="Z6" s="986"/>
      <c r="AA6" s="986"/>
      <c r="AB6" s="986"/>
      <c r="AC6" s="986"/>
      <c r="AD6" s="986"/>
      <c r="AE6" s="986"/>
      <c r="AF6" s="986"/>
      <c r="AG6" s="986"/>
      <c r="AH6" s="986"/>
      <c r="AI6" s="986"/>
      <c r="AJ6" s="986"/>
      <c r="AK6" s="986"/>
      <c r="AL6" s="986"/>
      <c r="AM6" s="143"/>
      <c r="AN6" s="621"/>
    </row>
    <row r="7" spans="1:40" x14ac:dyDescent="0.2">
      <c r="A7" s="615">
        <f>A6+1</f>
        <v>4</v>
      </c>
      <c r="B7" s="720"/>
      <c r="C7" s="709" t="s">
        <v>21</v>
      </c>
      <c r="D7" s="709"/>
      <c r="E7" s="713"/>
      <c r="F7" s="1006">
        <v>1</v>
      </c>
      <c r="G7" s="1006"/>
      <c r="H7" s="1006"/>
      <c r="I7" s="723"/>
      <c r="J7" s="724"/>
      <c r="K7" s="722"/>
      <c r="L7" s="725" t="s">
        <v>22</v>
      </c>
      <c r="M7" s="1006" t="s">
        <v>927</v>
      </c>
      <c r="N7" s="1006"/>
      <c r="O7" s="1006"/>
      <c r="P7" s="1006"/>
      <c r="Q7" s="1006"/>
      <c r="R7" s="1006"/>
      <c r="S7" s="1006"/>
      <c r="T7" s="1006"/>
      <c r="U7" s="721"/>
      <c r="V7" s="709" t="s">
        <v>23</v>
      </c>
      <c r="W7" s="722"/>
      <c r="X7" s="721"/>
      <c r="Y7" s="986" t="s">
        <v>930</v>
      </c>
      <c r="Z7" s="986"/>
      <c r="AA7" s="986"/>
      <c r="AB7" s="986"/>
      <c r="AC7" s="726"/>
      <c r="AD7" s="722" t="s">
        <v>24</v>
      </c>
      <c r="AE7" s="727"/>
      <c r="AF7" s="722"/>
      <c r="AG7" s="728"/>
      <c r="AH7" s="1027">
        <v>43554</v>
      </c>
      <c r="AI7" s="1027"/>
      <c r="AJ7" s="1027"/>
      <c r="AK7" s="1027"/>
      <c r="AL7" s="1027"/>
      <c r="AM7" s="143"/>
      <c r="AN7" s="621"/>
    </row>
    <row r="8" spans="1:40" x14ac:dyDescent="0.2">
      <c r="A8" s="566">
        <f>A7+1</f>
        <v>5</v>
      </c>
      <c r="B8" s="720"/>
      <c r="C8" s="709" t="s">
        <v>25</v>
      </c>
      <c r="D8" s="709"/>
      <c r="E8" s="709"/>
      <c r="F8" s="709"/>
      <c r="G8" s="709"/>
      <c r="H8" s="1012" t="s">
        <v>928</v>
      </c>
      <c r="I8" s="1012"/>
      <c r="J8" s="1012"/>
      <c r="K8" s="1012"/>
      <c r="L8" s="1012"/>
      <c r="M8" s="1012"/>
      <c r="N8" s="1012"/>
      <c r="O8" s="1012"/>
      <c r="P8" s="1012"/>
      <c r="Q8" s="1012"/>
      <c r="R8" s="1012"/>
      <c r="S8" s="1012"/>
      <c r="T8" s="1012"/>
      <c r="U8" s="550"/>
      <c r="V8" s="709" t="s">
        <v>26</v>
      </c>
      <c r="W8" s="548"/>
      <c r="X8" s="548"/>
      <c r="Y8" s="986" t="s">
        <v>931</v>
      </c>
      <c r="Z8" s="986"/>
      <c r="AA8" s="986"/>
      <c r="AB8" s="986"/>
      <c r="AC8" s="729"/>
      <c r="AD8" s="712" t="s">
        <v>27</v>
      </c>
      <c r="AE8" s="727"/>
      <c r="AF8" s="727"/>
      <c r="AG8" s="729"/>
      <c r="AH8" s="1027">
        <v>123456789</v>
      </c>
      <c r="AI8" s="1027"/>
      <c r="AJ8" s="1027"/>
      <c r="AK8" s="1027"/>
      <c r="AL8" s="1027"/>
      <c r="AM8" s="143"/>
      <c r="AN8" s="645"/>
    </row>
    <row r="9" spans="1:40" ht="3.2" customHeight="1" x14ac:dyDescent="0.2">
      <c r="A9" s="566">
        <f>A8+1</f>
        <v>6</v>
      </c>
      <c r="B9" s="730"/>
      <c r="C9" s="46"/>
      <c r="D9" s="46"/>
      <c r="E9" s="46"/>
      <c r="F9" s="46"/>
      <c r="G9" s="46"/>
      <c r="H9" s="46"/>
      <c r="I9" s="46"/>
      <c r="J9" s="46"/>
      <c r="K9" s="46"/>
      <c r="L9" s="46"/>
      <c r="M9" s="46"/>
      <c r="N9" s="46"/>
      <c r="O9" s="45"/>
      <c r="P9" s="731"/>
      <c r="Q9" s="45"/>
      <c r="R9" s="731"/>
      <c r="S9" s="46"/>
      <c r="T9" s="46"/>
      <c r="U9" s="45"/>
      <c r="V9" s="45"/>
      <c r="W9" s="45"/>
      <c r="X9" s="47"/>
      <c r="Y9" s="47"/>
      <c r="Z9" s="46"/>
      <c r="AA9" s="46"/>
      <c r="AB9" s="166"/>
      <c r="AC9" s="166"/>
      <c r="AD9" s="48"/>
      <c r="AE9" s="46"/>
      <c r="AF9" s="166"/>
      <c r="AG9" s="166"/>
      <c r="AH9" s="166"/>
      <c r="AI9" s="166"/>
      <c r="AJ9" s="166"/>
      <c r="AK9" s="166"/>
      <c r="AL9" s="166"/>
      <c r="AM9" s="166"/>
      <c r="AN9" s="647"/>
    </row>
    <row r="10" spans="1:40" x14ac:dyDescent="0.2">
      <c r="A10" s="566">
        <f>A8+1</f>
        <v>6</v>
      </c>
      <c r="B10" s="715"/>
      <c r="C10" s="1013" t="s">
        <v>677</v>
      </c>
      <c r="D10" s="1014"/>
      <c r="E10" s="1014"/>
      <c r="F10" s="1014"/>
      <c r="G10" s="1014"/>
      <c r="H10" s="1014"/>
      <c r="I10" s="1014"/>
      <c r="J10" s="1014"/>
      <c r="K10" s="1014"/>
      <c r="L10" s="1014"/>
      <c r="M10" s="1014"/>
      <c r="N10" s="1014"/>
      <c r="O10" s="1014"/>
      <c r="P10" s="1014"/>
      <c r="Q10" s="1014"/>
      <c r="R10" s="1014"/>
      <c r="S10" s="1014"/>
      <c r="T10" s="1014"/>
      <c r="U10" s="1014"/>
      <c r="V10" s="1014"/>
      <c r="W10" s="1014"/>
      <c r="X10" s="1014"/>
      <c r="Y10" s="1015"/>
      <c r="Z10" s="732"/>
      <c r="AA10" s="732"/>
      <c r="AB10" s="732"/>
      <c r="AC10" s="732"/>
      <c r="AD10" s="732"/>
      <c r="AE10" s="732"/>
      <c r="AF10" s="732"/>
      <c r="AG10" s="732"/>
      <c r="AH10" s="732"/>
      <c r="AI10" s="732"/>
      <c r="AJ10" s="732"/>
      <c r="AK10" s="732"/>
      <c r="AL10" s="732"/>
      <c r="AM10" s="733"/>
      <c r="AN10" s="621"/>
    </row>
    <row r="11" spans="1:40" x14ac:dyDescent="0.2">
      <c r="A11" s="566">
        <f t="shared" ref="A11:A28" si="0">A10+1</f>
        <v>7</v>
      </c>
      <c r="B11" s="720"/>
      <c r="C11" s="734"/>
      <c r="D11" s="655"/>
      <c r="E11" s="655"/>
      <c r="F11" s="655"/>
      <c r="G11" s="655"/>
      <c r="H11" s="655"/>
      <c r="I11" s="655"/>
      <c r="J11" s="235"/>
      <c r="K11" s="1007" t="s">
        <v>122</v>
      </c>
      <c r="L11" s="1008"/>
      <c r="M11" s="1009"/>
      <c r="N11" s="1007" t="s">
        <v>123</v>
      </c>
      <c r="O11" s="1008"/>
      <c r="P11" s="1009"/>
      <c r="Q11" s="1007" t="s">
        <v>126</v>
      </c>
      <c r="R11" s="1008"/>
      <c r="S11" s="1009"/>
      <c r="T11" s="1010" t="s">
        <v>182</v>
      </c>
      <c r="U11" s="1011"/>
      <c r="V11" s="1011"/>
      <c r="W11" s="1024"/>
      <c r="X11" s="1024"/>
      <c r="Y11" s="1024"/>
      <c r="Z11" s="822"/>
      <c r="AA11" s="127" t="s">
        <v>139</v>
      </c>
      <c r="AB11" s="125"/>
      <c r="AC11" s="735"/>
      <c r="AD11" s="228"/>
      <c r="AE11" s="228"/>
      <c r="AF11" s="228"/>
      <c r="AG11" s="228"/>
      <c r="AH11" s="1028" t="s">
        <v>916</v>
      </c>
      <c r="AI11" s="1029"/>
      <c r="AJ11" s="1029"/>
      <c r="AK11" s="1029"/>
      <c r="AL11" s="1029"/>
      <c r="AM11" s="24"/>
      <c r="AN11" s="621"/>
    </row>
    <row r="12" spans="1:40" x14ac:dyDescent="0.2">
      <c r="A12" s="566">
        <f t="shared" si="0"/>
        <v>8</v>
      </c>
      <c r="B12" s="720"/>
      <c r="C12" s="236"/>
      <c r="D12" s="736"/>
      <c r="E12" s="736"/>
      <c r="F12" s="736"/>
      <c r="G12" s="736"/>
      <c r="H12" s="736"/>
      <c r="I12" s="736"/>
      <c r="J12" s="544" t="s">
        <v>560</v>
      </c>
      <c r="K12" s="828" t="s">
        <v>932</v>
      </c>
      <c r="L12" s="829"/>
      <c r="M12" s="829"/>
      <c r="N12" s="826"/>
      <c r="O12" s="826"/>
      <c r="P12" s="826"/>
      <c r="Q12" s="826"/>
      <c r="R12" s="826"/>
      <c r="S12" s="830"/>
      <c r="T12" s="831" t="s">
        <v>703</v>
      </c>
      <c r="U12" s="826"/>
      <c r="V12" s="826"/>
      <c r="W12" s="826"/>
      <c r="X12" s="826"/>
      <c r="Y12" s="827"/>
      <c r="Z12" s="124"/>
      <c r="AA12" s="565" t="s">
        <v>598</v>
      </c>
      <c r="AB12" s="24"/>
      <c r="AC12" s="24"/>
      <c r="AD12" s="150"/>
      <c r="AE12" s="150"/>
      <c r="AF12" s="150"/>
      <c r="AG12" s="150"/>
      <c r="AH12" s="150"/>
      <c r="AI12" s="150"/>
      <c r="AJ12" s="150"/>
      <c r="AK12" s="1033"/>
      <c r="AL12" s="1033"/>
      <c r="AM12" s="24"/>
      <c r="AN12" s="621"/>
    </row>
    <row r="13" spans="1:40" x14ac:dyDescent="0.2">
      <c r="A13" s="566">
        <f>A12+1</f>
        <v>9</v>
      </c>
      <c r="B13" s="720"/>
      <c r="C13" s="237"/>
      <c r="D13" s="737"/>
      <c r="E13" s="737"/>
      <c r="F13" s="737"/>
      <c r="G13" s="737"/>
      <c r="H13" s="737"/>
      <c r="I13" s="737"/>
      <c r="J13" s="738" t="s">
        <v>135</v>
      </c>
      <c r="K13" s="960" t="str">
        <f ca="1">Units!B2</f>
        <v>psia</v>
      </c>
      <c r="L13" s="961"/>
      <c r="M13" s="962"/>
      <c r="N13" s="967"/>
      <c r="O13" s="968"/>
      <c r="P13" s="969"/>
      <c r="Q13" s="967"/>
      <c r="R13" s="968"/>
      <c r="S13" s="969"/>
      <c r="T13" s="832" t="s">
        <v>704</v>
      </c>
      <c r="U13" s="241"/>
      <c r="V13" s="241"/>
      <c r="W13" s="826"/>
      <c r="X13" s="826"/>
      <c r="Y13" s="827"/>
      <c r="Z13" s="229"/>
      <c r="AA13" s="713" t="s">
        <v>142</v>
      </c>
      <c r="AD13" s="375"/>
      <c r="AE13" s="375"/>
      <c r="AF13" s="375"/>
      <c r="AG13" s="375"/>
      <c r="AH13" s="375">
        <f>COLUMN()</f>
        <v>34</v>
      </c>
      <c r="AI13" s="1030" t="s">
        <v>933</v>
      </c>
      <c r="AJ13" s="1030"/>
      <c r="AK13" s="1030"/>
      <c r="AL13" s="1030"/>
      <c r="AM13" s="741"/>
      <c r="AN13" s="621"/>
    </row>
    <row r="14" spans="1:40" x14ac:dyDescent="0.2">
      <c r="A14" s="566">
        <f t="shared" si="0"/>
        <v>10</v>
      </c>
      <c r="B14" s="720"/>
      <c r="C14" s="1034" t="s">
        <v>709</v>
      </c>
      <c r="D14" s="1035"/>
      <c r="E14" s="1035"/>
      <c r="F14" s="1035"/>
      <c r="G14" s="1035"/>
      <c r="H14" s="1035"/>
      <c r="I14" s="1035"/>
      <c r="J14" s="1036"/>
      <c r="K14" s="960"/>
      <c r="L14" s="961"/>
      <c r="M14" s="962"/>
      <c r="N14" s="967"/>
      <c r="O14" s="968"/>
      <c r="P14" s="969"/>
      <c r="Q14" s="967"/>
      <c r="R14" s="968"/>
      <c r="S14" s="969"/>
      <c r="T14" s="832" t="s">
        <v>705</v>
      </c>
      <c r="U14" s="826"/>
      <c r="V14" s="826"/>
      <c r="W14" s="826"/>
      <c r="X14" s="826"/>
      <c r="Y14" s="827"/>
      <c r="Z14" s="124"/>
      <c r="AA14" s="239" t="s">
        <v>742</v>
      </c>
      <c r="AB14" s="239"/>
      <c r="AC14" s="239"/>
      <c r="AD14" s="238"/>
      <c r="AE14" s="742"/>
      <c r="AF14" s="238"/>
      <c r="AG14" s="238"/>
      <c r="AH14" s="238"/>
      <c r="AI14" s="238"/>
      <c r="AJ14" s="238"/>
      <c r="AK14" s="1044"/>
      <c r="AL14" s="1044"/>
      <c r="AM14" s="24"/>
      <c r="AN14" s="621"/>
    </row>
    <row r="15" spans="1:40" x14ac:dyDescent="0.2">
      <c r="A15" s="566">
        <f t="shared" si="0"/>
        <v>11</v>
      </c>
      <c r="B15" s="720"/>
      <c r="C15" s="237"/>
      <c r="D15" s="737"/>
      <c r="E15" s="737"/>
      <c r="F15" s="737"/>
      <c r="G15" s="737"/>
      <c r="H15" s="737"/>
      <c r="I15" s="737"/>
      <c r="J15" s="738" t="s">
        <v>137</v>
      </c>
      <c r="K15" s="960" t="str">
        <f ca="1">Units!B34</f>
        <v>Btu/(lbm-°F)</v>
      </c>
      <c r="L15" s="961"/>
      <c r="M15" s="962"/>
      <c r="N15" s="967"/>
      <c r="O15" s="968"/>
      <c r="P15" s="969"/>
      <c r="Q15" s="967"/>
      <c r="R15" s="968"/>
      <c r="S15" s="969"/>
      <c r="T15" s="1031"/>
      <c r="U15" s="1032"/>
      <c r="V15" s="1032"/>
      <c r="W15" s="1032"/>
      <c r="X15" s="1032"/>
      <c r="Y15" s="1032"/>
      <c r="Z15" s="823"/>
      <c r="AA15" s="739" t="s">
        <v>743</v>
      </c>
      <c r="AB15" s="739"/>
      <c r="AC15" s="739"/>
      <c r="AD15" s="743"/>
      <c r="AE15" s="743"/>
      <c r="AF15" s="743"/>
      <c r="AG15" s="238"/>
      <c r="AH15" s="238"/>
      <c r="AI15" s="238"/>
      <c r="AJ15" s="238"/>
      <c r="AK15" s="961"/>
      <c r="AL15" s="961"/>
      <c r="AM15" s="24"/>
      <c r="AN15" s="621"/>
    </row>
    <row r="16" spans="1:40" x14ac:dyDescent="0.2">
      <c r="A16" s="566">
        <f t="shared" si="0"/>
        <v>12</v>
      </c>
      <c r="B16" s="720"/>
      <c r="C16" s="744"/>
      <c r="D16" s="745"/>
      <c r="E16" s="745"/>
      <c r="F16" s="745"/>
      <c r="G16" s="745"/>
      <c r="H16" s="745"/>
      <c r="I16" s="745"/>
      <c r="J16" s="746" t="s">
        <v>138</v>
      </c>
      <c r="K16" s="1037" t="str">
        <f ca="1">Units!B30</f>
        <v>cP</v>
      </c>
      <c r="L16" s="1038"/>
      <c r="M16" s="1039"/>
      <c r="N16" s="1018"/>
      <c r="O16" s="1019"/>
      <c r="P16" s="1020"/>
      <c r="Q16" s="1018"/>
      <c r="R16" s="1019"/>
      <c r="S16" s="1020"/>
      <c r="T16" s="1031"/>
      <c r="U16" s="1032"/>
      <c r="V16" s="1032"/>
      <c r="W16" s="1032"/>
      <c r="X16" s="1032"/>
      <c r="Y16" s="1032"/>
      <c r="Z16" s="824"/>
      <c r="AA16" s="543" t="s">
        <v>876</v>
      </c>
      <c r="AB16" s="543"/>
      <c r="AC16" s="740"/>
      <c r="AD16" s="743"/>
      <c r="AE16" s="592"/>
      <c r="AF16" s="592"/>
      <c r="AG16" s="747"/>
      <c r="AH16" s="742"/>
      <c r="AI16" s="150"/>
      <c r="AJ16" s="238"/>
      <c r="AK16" s="1016"/>
      <c r="AL16" s="1017"/>
      <c r="AM16" s="24"/>
      <c r="AN16" s="621"/>
    </row>
    <row r="17" spans="1:62" ht="3" customHeight="1" x14ac:dyDescent="0.2">
      <c r="A17" s="566"/>
      <c r="B17" s="730"/>
      <c r="N17" s="1032"/>
      <c r="O17" s="1032"/>
      <c r="P17" s="1032"/>
      <c r="Q17" s="1032"/>
      <c r="R17" s="1032"/>
      <c r="S17" s="1032"/>
      <c r="T17" s="1032"/>
      <c r="U17" s="1032"/>
      <c r="V17" s="1032"/>
      <c r="W17" s="1043"/>
      <c r="X17" s="1043"/>
      <c r="Y17" s="1043"/>
      <c r="Z17" s="825"/>
      <c r="AM17" s="13"/>
      <c r="AN17" s="645"/>
    </row>
    <row r="18" spans="1:62" x14ac:dyDescent="0.2">
      <c r="A18" s="566">
        <f>A16+1</f>
        <v>13</v>
      </c>
      <c r="B18" s="715"/>
      <c r="C18" s="1040" t="s">
        <v>725</v>
      </c>
      <c r="D18" s="1041"/>
      <c r="E18" s="1041"/>
      <c r="F18" s="1041"/>
      <c r="G18" s="1041"/>
      <c r="H18" s="1041"/>
      <c r="I18" s="1041"/>
      <c r="J18" s="1041"/>
      <c r="K18" s="1041"/>
      <c r="L18" s="1041"/>
      <c r="M18" s="1041"/>
      <c r="N18" s="1041"/>
      <c r="O18" s="1041"/>
      <c r="P18" s="1041"/>
      <c r="Q18" s="1041"/>
      <c r="R18" s="1041"/>
      <c r="S18" s="1041"/>
      <c r="T18" s="1041"/>
      <c r="U18" s="1041"/>
      <c r="V18" s="1041"/>
      <c r="W18" s="1041"/>
      <c r="X18" s="1041"/>
      <c r="Y18" s="1042"/>
      <c r="Z18" s="124"/>
      <c r="AA18" s="641" t="s">
        <v>143</v>
      </c>
      <c r="AB18" s="641"/>
      <c r="AC18" s="641"/>
      <c r="AD18" s="592"/>
      <c r="AE18" s="592"/>
      <c r="AF18" s="592"/>
      <c r="AG18" s="747"/>
      <c r="AH18" s="742"/>
      <c r="AI18" s="150"/>
      <c r="AJ18" s="742"/>
      <c r="AK18" s="1016"/>
      <c r="AL18" s="1017"/>
      <c r="AM18" s="24"/>
      <c r="AN18" s="647"/>
    </row>
    <row r="19" spans="1:62" x14ac:dyDescent="0.2">
      <c r="A19" s="566">
        <f t="shared" si="0"/>
        <v>14</v>
      </c>
      <c r="B19" s="720"/>
      <c r="C19" s="748"/>
      <c r="D19" s="749"/>
      <c r="E19" s="749"/>
      <c r="F19" s="749"/>
      <c r="G19" s="749"/>
      <c r="H19" s="749"/>
      <c r="I19" s="749"/>
      <c r="J19" s="749"/>
      <c r="K19" s="1007" t="s">
        <v>122</v>
      </c>
      <c r="L19" s="1008"/>
      <c r="M19" s="1009"/>
      <c r="N19" s="1007" t="s">
        <v>123</v>
      </c>
      <c r="O19" s="1008"/>
      <c r="P19" s="1009"/>
      <c r="Q19" s="1007" t="s">
        <v>124</v>
      </c>
      <c r="R19" s="1008"/>
      <c r="S19" s="1009"/>
      <c r="T19" s="1007" t="s">
        <v>125</v>
      </c>
      <c r="U19" s="1008"/>
      <c r="V19" s="1009"/>
      <c r="W19" s="1007" t="s">
        <v>126</v>
      </c>
      <c r="X19" s="1008"/>
      <c r="Y19" s="1009"/>
      <c r="Z19" s="24"/>
      <c r="AA19" s="849" t="s">
        <v>838</v>
      </c>
      <c r="AB19" s="543"/>
      <c r="AC19" s="543"/>
      <c r="AD19" s="740"/>
      <c r="AE19" s="541"/>
      <c r="AF19" s="541"/>
      <c r="AG19" s="541"/>
      <c r="AH19" s="541"/>
      <c r="AI19" s="541"/>
      <c r="AJ19" s="541"/>
      <c r="AK19" s="1016"/>
      <c r="AL19" s="1017"/>
      <c r="AM19" s="24"/>
      <c r="AN19" s="621"/>
      <c r="AP19" s="3"/>
      <c r="AQ19" s="3"/>
      <c r="AR19" s="3"/>
      <c r="AS19" s="3"/>
      <c r="AT19" s="3"/>
      <c r="AU19" s="3"/>
      <c r="AV19" s="869"/>
      <c r="AW19" s="3"/>
      <c r="AX19" s="3"/>
      <c r="AY19" s="3"/>
    </row>
    <row r="20" spans="1:62" x14ac:dyDescent="0.2">
      <c r="A20" s="566">
        <f t="shared" si="0"/>
        <v>15</v>
      </c>
      <c r="B20" s="720"/>
      <c r="C20" s="236"/>
      <c r="D20" s="736"/>
      <c r="E20" s="736"/>
      <c r="F20" s="736"/>
      <c r="G20" s="736"/>
      <c r="H20" s="736"/>
      <c r="I20" s="736"/>
      <c r="J20" s="819" t="s">
        <v>559</v>
      </c>
      <c r="K20" s="750"/>
      <c r="L20" s="700"/>
      <c r="M20" s="751"/>
      <c r="N20" s="1049" t="s">
        <v>862</v>
      </c>
      <c r="O20" s="1050"/>
      <c r="P20" s="1050"/>
      <c r="Q20" s="1050"/>
      <c r="R20" s="1050"/>
      <c r="S20" s="1050"/>
      <c r="T20" s="1050"/>
      <c r="U20" s="1050"/>
      <c r="V20" s="1050"/>
      <c r="W20" s="1050"/>
      <c r="X20" s="1050"/>
      <c r="Y20" s="1051"/>
      <c r="Z20" s="24"/>
      <c r="AA20" s="849" t="s">
        <v>839</v>
      </c>
      <c r="AB20" s="542"/>
      <c r="AC20" s="542"/>
      <c r="AD20" s="542"/>
      <c r="AE20" s="542"/>
      <c r="AF20" s="542"/>
      <c r="AG20" s="542"/>
      <c r="AH20" s="542"/>
      <c r="AI20" s="542"/>
      <c r="AJ20" s="542"/>
      <c r="AK20" s="1016"/>
      <c r="AL20" s="1017"/>
      <c r="AM20" s="24"/>
      <c r="AN20" s="621"/>
    </row>
    <row r="21" spans="1:62" x14ac:dyDescent="0.2">
      <c r="A21" s="566">
        <f t="shared" si="0"/>
        <v>16</v>
      </c>
      <c r="B21" s="720"/>
      <c r="C21" s="229"/>
      <c r="D21" s="239"/>
      <c r="E21" s="239"/>
      <c r="F21" s="239"/>
      <c r="G21" s="239"/>
      <c r="H21" s="239"/>
      <c r="I21" s="239"/>
      <c r="J21" s="818" t="s">
        <v>134</v>
      </c>
      <c r="K21" s="960" t="str">
        <f ca="1">Units!B32</f>
        <v>°F</v>
      </c>
      <c r="L21" s="961"/>
      <c r="M21" s="962"/>
      <c r="N21" s="959">
        <v>15</v>
      </c>
      <c r="O21" s="959"/>
      <c r="P21" s="959"/>
      <c r="Q21" s="959">
        <v>16</v>
      </c>
      <c r="R21" s="959"/>
      <c r="S21" s="959"/>
      <c r="T21" s="959">
        <v>17</v>
      </c>
      <c r="U21" s="959"/>
      <c r="V21" s="959"/>
      <c r="W21" s="959">
        <v>18</v>
      </c>
      <c r="X21" s="959"/>
      <c r="Y21" s="959"/>
      <c r="Z21" s="24"/>
      <c r="AA21" s="542"/>
      <c r="AB21" s="542"/>
      <c r="AC21" s="542"/>
      <c r="AD21" s="542"/>
      <c r="AE21" s="542"/>
      <c r="AF21" s="542"/>
      <c r="AG21" s="542"/>
      <c r="AH21" s="542"/>
      <c r="AI21" s="542"/>
      <c r="AJ21" s="542"/>
      <c r="AK21" s="752"/>
      <c r="AL21" s="238"/>
      <c r="AM21" s="24"/>
      <c r="AN21" s="621"/>
      <c r="AP21" s="542"/>
      <c r="AQ21" s="542"/>
      <c r="AR21" s="542"/>
      <c r="AS21" s="542"/>
      <c r="AT21" s="542"/>
      <c r="AU21" s="542"/>
      <c r="AV21" s="542"/>
      <c r="AW21" s="542"/>
      <c r="AX21" s="542"/>
      <c r="AY21" s="542"/>
    </row>
    <row r="22" spans="1:62" x14ac:dyDescent="0.2">
      <c r="A22" s="566">
        <f t="shared" si="0"/>
        <v>17</v>
      </c>
      <c r="B22" s="720"/>
      <c r="C22" s="237"/>
      <c r="D22" s="737"/>
      <c r="E22" s="737"/>
      <c r="F22" s="737"/>
      <c r="G22" s="737"/>
      <c r="H22" s="737"/>
      <c r="I22" s="737"/>
      <c r="J22" s="738" t="s">
        <v>852</v>
      </c>
      <c r="K22" s="960" t="str">
        <f ca="1">Units!B19</f>
        <v>gpm</v>
      </c>
      <c r="L22" s="961"/>
      <c r="M22" s="962"/>
      <c r="N22" s="959">
        <v>11</v>
      </c>
      <c r="O22" s="959"/>
      <c r="P22" s="959"/>
      <c r="Q22" s="974">
        <v>12</v>
      </c>
      <c r="R22" s="974"/>
      <c r="S22" s="974"/>
      <c r="T22" s="959">
        <v>13</v>
      </c>
      <c r="U22" s="959"/>
      <c r="V22" s="959"/>
      <c r="W22" s="959">
        <v>14</v>
      </c>
      <c r="X22" s="959"/>
      <c r="Y22" s="959"/>
      <c r="Z22" s="24"/>
      <c r="AA22" s="753"/>
      <c r="AB22" s="445"/>
      <c r="AC22" s="445"/>
      <c r="AD22" s="445"/>
      <c r="AE22" s="445"/>
      <c r="AF22" s="445"/>
      <c r="AG22" s="445"/>
      <c r="AH22" s="445"/>
      <c r="AI22" s="445"/>
      <c r="AJ22" s="445"/>
      <c r="AK22" s="445"/>
      <c r="AL22" s="445"/>
      <c r="AM22" s="24"/>
      <c r="AN22" s="621"/>
    </row>
    <row r="23" spans="1:62" x14ac:dyDescent="0.2">
      <c r="A23" s="566">
        <f t="shared" si="0"/>
        <v>18</v>
      </c>
      <c r="B23" s="720"/>
      <c r="C23" s="237"/>
      <c r="D23" s="737"/>
      <c r="E23" s="737"/>
      <c r="F23" s="737"/>
      <c r="G23" s="737"/>
      <c r="H23" s="737"/>
      <c r="I23" s="737"/>
      <c r="J23" s="738" t="s">
        <v>724</v>
      </c>
      <c r="K23" s="960" t="str">
        <f ca="1">Units!B2</f>
        <v>psia</v>
      </c>
      <c r="L23" s="961"/>
      <c r="M23" s="962"/>
      <c r="N23" s="959">
        <v>8</v>
      </c>
      <c r="O23" s="959"/>
      <c r="P23" s="959"/>
      <c r="Q23" s="959">
        <v>764</v>
      </c>
      <c r="R23" s="959"/>
      <c r="S23" s="959"/>
      <c r="T23" s="959">
        <v>9</v>
      </c>
      <c r="U23" s="959"/>
      <c r="V23" s="959"/>
      <c r="W23" s="959">
        <v>10</v>
      </c>
      <c r="X23" s="959"/>
      <c r="Y23" s="959"/>
      <c r="Z23" s="24"/>
      <c r="AA23" s="754"/>
      <c r="AB23" s="445"/>
      <c r="AC23" s="445"/>
      <c r="AD23" s="445"/>
      <c r="AE23" s="445"/>
      <c r="AF23" s="445"/>
      <c r="AG23" s="445"/>
      <c r="AH23" s="445"/>
      <c r="AI23" s="445"/>
      <c r="AJ23" s="445"/>
      <c r="AK23" s="445"/>
      <c r="AL23" s="445"/>
      <c r="AM23" s="24"/>
      <c r="AN23" s="621"/>
    </row>
    <row r="24" spans="1:62" x14ac:dyDescent="0.2">
      <c r="A24" s="566">
        <f t="shared" si="0"/>
        <v>19</v>
      </c>
      <c r="B24" s="720"/>
      <c r="C24" s="237"/>
      <c r="D24" s="737"/>
      <c r="E24" s="737"/>
      <c r="F24" s="737"/>
      <c r="G24" s="737"/>
      <c r="H24" s="737"/>
      <c r="I24" s="737"/>
      <c r="J24" s="738" t="s">
        <v>129</v>
      </c>
      <c r="K24" s="960" t="str">
        <f ca="1">Units!B2</f>
        <v>psia</v>
      </c>
      <c r="L24" s="961"/>
      <c r="M24" s="962"/>
      <c r="N24" s="959">
        <v>5</v>
      </c>
      <c r="O24" s="959"/>
      <c r="P24" s="959"/>
      <c r="Q24" s="959"/>
      <c r="R24" s="959"/>
      <c r="S24" s="959"/>
      <c r="T24" s="959">
        <v>6</v>
      </c>
      <c r="U24" s="959"/>
      <c r="V24" s="959"/>
      <c r="W24" s="959">
        <v>7</v>
      </c>
      <c r="X24" s="959"/>
      <c r="Y24" s="959"/>
      <c r="Z24" s="24"/>
      <c r="AA24" s="445"/>
      <c r="AB24" s="445"/>
      <c r="AC24" s="445"/>
      <c r="AD24" s="445"/>
      <c r="AE24" s="445"/>
      <c r="AF24" s="445"/>
      <c r="AG24" s="445"/>
      <c r="AH24" s="445"/>
      <c r="AI24" s="445"/>
      <c r="AJ24" s="445"/>
      <c r="AK24" s="445"/>
      <c r="AL24" s="445"/>
      <c r="AM24" s="24"/>
      <c r="AN24" s="621"/>
    </row>
    <row r="25" spans="1:62" x14ac:dyDescent="0.2">
      <c r="A25" s="566">
        <f t="shared" si="0"/>
        <v>20</v>
      </c>
      <c r="B25" s="720"/>
      <c r="C25" s="1034" t="s">
        <v>130</v>
      </c>
      <c r="D25" s="1035"/>
      <c r="E25" s="1035"/>
      <c r="F25" s="1035"/>
      <c r="G25" s="1035"/>
      <c r="H25" s="1035"/>
      <c r="I25" s="1035"/>
      <c r="J25" s="1036"/>
      <c r="K25" s="960" t="str">
        <f ca="1">Units!B4</f>
        <v>psi</v>
      </c>
      <c r="L25" s="961"/>
      <c r="M25" s="962"/>
      <c r="N25" s="967">
        <v>1</v>
      </c>
      <c r="O25" s="968"/>
      <c r="P25" s="969"/>
      <c r="Q25" s="1048">
        <v>2</v>
      </c>
      <c r="R25" s="1048"/>
      <c r="S25" s="1048"/>
      <c r="T25" s="967">
        <v>3</v>
      </c>
      <c r="U25" s="968"/>
      <c r="V25" s="969"/>
      <c r="W25" s="967">
        <v>4</v>
      </c>
      <c r="X25" s="968"/>
      <c r="Y25" s="969"/>
      <c r="Z25" s="755"/>
      <c r="AA25" s="542"/>
      <c r="AB25" s="542"/>
      <c r="AC25" s="542"/>
      <c r="AD25" s="542"/>
      <c r="AE25" s="542"/>
      <c r="AF25" s="542"/>
      <c r="AG25" s="542"/>
      <c r="AH25" s="542"/>
      <c r="AI25" s="542"/>
      <c r="AJ25" s="542"/>
      <c r="AK25" s="542"/>
      <c r="AL25" s="542"/>
      <c r="AM25" s="24"/>
      <c r="AN25" s="621"/>
      <c r="BC25" s="868"/>
    </row>
    <row r="26" spans="1:62" x14ac:dyDescent="0.2">
      <c r="A26" s="566">
        <f t="shared" si="0"/>
        <v>21</v>
      </c>
      <c r="B26" s="720"/>
      <c r="C26" s="1034" t="s">
        <v>132</v>
      </c>
      <c r="D26" s="1035"/>
      <c r="E26" s="1035"/>
      <c r="F26" s="1035"/>
      <c r="G26" s="1035"/>
      <c r="H26" s="1035"/>
      <c r="I26" s="1035"/>
      <c r="J26" s="1036"/>
      <c r="K26" s="960" t="str">
        <f ca="1">Units!B11</f>
        <v>ft</v>
      </c>
      <c r="L26" s="961"/>
      <c r="M26" s="962"/>
      <c r="N26" s="967">
        <v>19</v>
      </c>
      <c r="O26" s="968"/>
      <c r="P26" s="969"/>
      <c r="Q26" s="966">
        <v>22</v>
      </c>
      <c r="R26" s="966"/>
      <c r="S26" s="966"/>
      <c r="T26" s="967">
        <v>21</v>
      </c>
      <c r="U26" s="968"/>
      <c r="V26" s="969"/>
      <c r="W26" s="967">
        <v>20</v>
      </c>
      <c r="X26" s="968"/>
      <c r="Y26" s="969"/>
      <c r="Z26" s="755"/>
      <c r="AA26" s="542"/>
      <c r="AB26" s="542"/>
      <c r="AC26" s="542"/>
      <c r="AD26" s="542"/>
      <c r="AE26" s="542"/>
      <c r="AF26" s="542"/>
      <c r="AG26" s="542"/>
      <c r="AH26" s="542"/>
      <c r="AI26" s="542"/>
      <c r="AJ26" s="542"/>
      <c r="AK26" s="542"/>
      <c r="AL26" s="542"/>
      <c r="AM26" s="24"/>
      <c r="AN26" s="621"/>
    </row>
    <row r="27" spans="1:62" x14ac:dyDescent="0.2">
      <c r="A27" s="566">
        <f t="shared" si="0"/>
        <v>22</v>
      </c>
      <c r="B27" s="720"/>
      <c r="C27" s="1034" t="s">
        <v>678</v>
      </c>
      <c r="D27" s="1035"/>
      <c r="E27" s="1035"/>
      <c r="F27" s="1035"/>
      <c r="G27" s="1035"/>
      <c r="H27" s="1035"/>
      <c r="I27" s="1035"/>
      <c r="J27" s="1036"/>
      <c r="K27" s="960" t="str">
        <f ca="1">Units!B11</f>
        <v>ft</v>
      </c>
      <c r="L27" s="961"/>
      <c r="M27" s="962"/>
      <c r="N27" s="963"/>
      <c r="O27" s="964"/>
      <c r="P27" s="965"/>
      <c r="Q27" s="966" t="e">
        <f ca="1">Units!B71</f>
        <v>#DIV/0!</v>
      </c>
      <c r="R27" s="966"/>
      <c r="S27" s="966"/>
      <c r="T27" s="963"/>
      <c r="U27" s="964"/>
      <c r="V27" s="965"/>
      <c r="W27" s="963"/>
      <c r="X27" s="964"/>
      <c r="Y27" s="965"/>
      <c r="Z27" s="755"/>
      <c r="AA27" s="542"/>
      <c r="AB27" s="542"/>
      <c r="AC27" s="542"/>
      <c r="AD27" s="542"/>
      <c r="AE27" s="542"/>
      <c r="AF27" s="542"/>
      <c r="AG27" s="542"/>
      <c r="AH27" s="542"/>
      <c r="AI27" s="542"/>
      <c r="AJ27" s="542"/>
      <c r="AK27" s="542"/>
      <c r="AL27" s="542"/>
      <c r="AM27" s="24"/>
      <c r="AN27" s="621"/>
    </row>
    <row r="28" spans="1:62" x14ac:dyDescent="0.2">
      <c r="A28" s="566">
        <f t="shared" si="0"/>
        <v>23</v>
      </c>
      <c r="B28" s="730"/>
      <c r="C28" s="1055" t="s">
        <v>185</v>
      </c>
      <c r="D28" s="1056"/>
      <c r="E28" s="1056"/>
      <c r="F28" s="1056"/>
      <c r="G28" s="1056"/>
      <c r="H28" s="1056"/>
      <c r="I28" s="1056"/>
      <c r="J28" s="1057"/>
      <c r="K28" s="1037" t="str">
        <f ca="1">Units!B29</f>
        <v>HP</v>
      </c>
      <c r="L28" s="1038"/>
      <c r="M28" s="1039"/>
      <c r="N28" s="963"/>
      <c r="O28" s="964"/>
      <c r="P28" s="965"/>
      <c r="Q28" s="973" t="e">
        <f ca="1">Units!B72</f>
        <v>#DIV/0!</v>
      </c>
      <c r="R28" s="973"/>
      <c r="S28" s="973"/>
      <c r="T28" s="963"/>
      <c r="U28" s="964"/>
      <c r="V28" s="965"/>
      <c r="W28" s="963"/>
      <c r="X28" s="964"/>
      <c r="Y28" s="965"/>
      <c r="Z28" s="755"/>
      <c r="AA28" s="542"/>
      <c r="AB28" s="542"/>
      <c r="AC28" s="542"/>
      <c r="AD28" s="542"/>
      <c r="AE28" s="542"/>
      <c r="AF28" s="542"/>
      <c r="AG28" s="542"/>
      <c r="AH28" s="542"/>
      <c r="AI28" s="542"/>
      <c r="AJ28" s="542"/>
      <c r="AK28" s="542"/>
      <c r="AL28" s="542"/>
      <c r="AM28" s="24"/>
      <c r="AN28" s="645"/>
    </row>
    <row r="29" spans="1:62" ht="4.9000000000000004" customHeight="1" x14ac:dyDescent="0.2">
      <c r="A29" s="566"/>
      <c r="B29" s="715"/>
      <c r="C29" s="227"/>
      <c r="D29" s="756"/>
      <c r="E29" s="757"/>
      <c r="F29" s="33"/>
      <c r="G29" s="227"/>
      <c r="H29" s="756"/>
      <c r="I29" s="757"/>
      <c r="J29" s="33"/>
      <c r="K29" s="33"/>
      <c r="L29" s="227"/>
      <c r="M29" s="756"/>
      <c r="N29" s="543"/>
      <c r="O29" s="543"/>
      <c r="P29" s="543"/>
      <c r="Q29" s="543"/>
      <c r="R29" s="543"/>
      <c r="S29" s="739"/>
      <c r="T29" s="739"/>
      <c r="U29" s="239"/>
      <c r="V29" s="227"/>
      <c r="W29" s="227"/>
      <c r="X29" s="227"/>
      <c r="Y29" s="227"/>
      <c r="Z29" s="227"/>
      <c r="AA29" s="227"/>
      <c r="AB29" s="227"/>
      <c r="AC29" s="227"/>
      <c r="AD29" s="227"/>
      <c r="AE29" s="227"/>
      <c r="AF29" s="227"/>
      <c r="AG29" s="227"/>
      <c r="AH29" s="227"/>
      <c r="AI29" s="227"/>
      <c r="AJ29" s="227"/>
      <c r="AK29" s="227"/>
      <c r="AL29" s="227"/>
      <c r="AM29" s="24"/>
      <c r="AN29" s="647"/>
      <c r="AV29" s="870"/>
    </row>
    <row r="30" spans="1:62" x14ac:dyDescent="0.2">
      <c r="A30" s="566">
        <f>A28+1</f>
        <v>24</v>
      </c>
      <c r="B30" s="720"/>
      <c r="C30" s="1060" t="s">
        <v>30</v>
      </c>
      <c r="D30" s="1061"/>
      <c r="E30" s="1061"/>
      <c r="F30" s="1061"/>
      <c r="G30" s="1061"/>
      <c r="H30" s="1061"/>
      <c r="I30" s="1061"/>
      <c r="J30" s="1061"/>
      <c r="K30" s="1061"/>
      <c r="L30" s="1061"/>
      <c r="M30" s="1061"/>
      <c r="N30" s="1061"/>
      <c r="O30" s="1061"/>
      <c r="P30" s="1061"/>
      <c r="Q30" s="1061"/>
      <c r="R30" s="1061"/>
      <c r="S30" s="1061"/>
      <c r="T30" s="1061"/>
      <c r="U30" s="1061"/>
      <c r="V30" s="1061"/>
      <c r="W30" s="1061"/>
      <c r="X30" s="1061"/>
      <c r="Y30" s="1061"/>
      <c r="Z30" s="1061"/>
      <c r="AA30" s="1061"/>
      <c r="AB30" s="1061"/>
      <c r="AC30" s="1061"/>
      <c r="AD30" s="1061"/>
      <c r="AE30" s="1061"/>
      <c r="AF30" s="1061"/>
      <c r="AG30" s="1061"/>
      <c r="AH30" s="1061"/>
      <c r="AI30" s="1061"/>
      <c r="AJ30" s="1061"/>
      <c r="AK30" s="1061"/>
      <c r="AL30" s="1061"/>
      <c r="AM30" s="1062"/>
      <c r="AN30" s="621"/>
      <c r="BB30" s="868"/>
      <c r="BJ30" s="112"/>
    </row>
    <row r="31" spans="1:62" x14ac:dyDescent="0.2">
      <c r="A31" s="566">
        <f t="shared" ref="A31:A68" si="1">A30+1</f>
        <v>25</v>
      </c>
      <c r="B31" s="720"/>
      <c r="C31" s="758" t="s">
        <v>31</v>
      </c>
      <c r="D31" s="226"/>
      <c r="E31" s="226"/>
      <c r="F31" s="226"/>
      <c r="G31" s="226"/>
      <c r="H31" s="226"/>
      <c r="I31" s="226"/>
      <c r="J31" s="226"/>
      <c r="K31" s="226"/>
      <c r="L31" s="226"/>
      <c r="M31" s="226"/>
      <c r="N31" s="226"/>
      <c r="O31" s="226"/>
      <c r="P31" s="226"/>
      <c r="Q31" s="226"/>
      <c r="R31" s="226"/>
      <c r="S31" s="226"/>
      <c r="T31" s="804"/>
      <c r="U31" s="381" t="s">
        <v>220</v>
      </c>
      <c r="V31" s="781"/>
      <c r="W31" s="781"/>
      <c r="X31" s="781"/>
      <c r="Y31" s="781"/>
      <c r="Z31" s="781"/>
      <c r="AA31" s="781"/>
      <c r="AB31" s="781"/>
      <c r="AC31" s="781"/>
      <c r="AD31" s="781"/>
      <c r="AE31" s="781"/>
      <c r="AF31" s="781"/>
      <c r="AG31" s="781"/>
      <c r="AH31" s="781"/>
      <c r="AI31" s="781"/>
      <c r="AJ31" s="781"/>
      <c r="AK31" s="781"/>
      <c r="AM31" s="739"/>
      <c r="AN31" s="621"/>
      <c r="BJ31" s="543"/>
    </row>
    <row r="32" spans="1:62" x14ac:dyDescent="0.2">
      <c r="A32" s="566">
        <f t="shared" si="1"/>
        <v>26</v>
      </c>
      <c r="B32" s="720"/>
      <c r="C32" s="226"/>
      <c r="D32" s="226"/>
      <c r="E32" s="1054" t="s">
        <v>921</v>
      </c>
      <c r="F32" s="1054"/>
      <c r="G32" s="1054"/>
      <c r="H32" s="1054"/>
      <c r="I32" s="377"/>
      <c r="J32" s="1054" t="s">
        <v>922</v>
      </c>
      <c r="K32" s="1054"/>
      <c r="L32" s="1054"/>
      <c r="M32" s="1054"/>
      <c r="N32" s="377"/>
      <c r="O32" s="1067" t="s">
        <v>924</v>
      </c>
      <c r="P32" s="1067"/>
      <c r="Q32" s="1067"/>
      <c r="R32" s="1067"/>
      <c r="S32" s="1067"/>
      <c r="T32" s="761"/>
      <c r="U32" s="781"/>
      <c r="V32" s="548"/>
      <c r="W32" s="548"/>
      <c r="X32" s="548"/>
      <c r="Y32" s="548"/>
      <c r="Z32" s="1046" t="s">
        <v>221</v>
      </c>
      <c r="AA32" s="1046"/>
      <c r="AB32" s="382"/>
      <c r="AC32" s="248"/>
      <c r="AD32" s="1046" t="s">
        <v>222</v>
      </c>
      <c r="AE32" s="1046"/>
      <c r="AF32" s="1047"/>
      <c r="AG32" s="1045" t="s">
        <v>223</v>
      </c>
      <c r="AH32" s="1046"/>
      <c r="AI32" s="1047"/>
      <c r="AJ32" s="1045"/>
      <c r="AK32" s="1046"/>
      <c r="AM32" s="739"/>
      <c r="AN32" s="621"/>
    </row>
    <row r="33" spans="1:62" x14ac:dyDescent="0.2">
      <c r="A33" s="566">
        <f t="shared" si="1"/>
        <v>27</v>
      </c>
      <c r="B33" s="720"/>
      <c r="C33" s="758" t="s">
        <v>144</v>
      </c>
      <c r="D33" s="756"/>
      <c r="E33" s="444"/>
      <c r="F33" s="444"/>
      <c r="G33" s="227"/>
      <c r="H33" s="1058" t="s">
        <v>923</v>
      </c>
      <c r="I33" s="1059"/>
      <c r="J33" s="1059"/>
      <c r="K33" s="1059"/>
      <c r="L33" s="444"/>
      <c r="M33" s="378" t="s">
        <v>145</v>
      </c>
      <c r="N33" s="1064" t="s">
        <v>207</v>
      </c>
      <c r="O33" s="1064"/>
      <c r="P33" s="1064"/>
      <c r="Q33" s="1064"/>
      <c r="R33" s="1064"/>
      <c r="S33" s="1064"/>
      <c r="T33" s="1065"/>
      <c r="U33" s="781"/>
      <c r="V33" s="548" t="s">
        <v>224</v>
      </c>
      <c r="W33" s="548"/>
      <c r="X33" s="548" t="str">
        <f ca="1">Units!B32</f>
        <v>°F</v>
      </c>
      <c r="Y33" s="773"/>
      <c r="Z33" s="976"/>
      <c r="AA33" s="976"/>
      <c r="AB33" s="781"/>
      <c r="AC33" s="785" t="s">
        <v>225</v>
      </c>
      <c r="AD33" s="976"/>
      <c r="AE33" s="976"/>
      <c r="AF33" s="1066"/>
      <c r="AG33" s="1000"/>
      <c r="AH33" s="976"/>
      <c r="AI33" s="1066"/>
      <c r="AJ33" s="1000"/>
      <c r="AK33" s="976"/>
      <c r="AM33" s="741"/>
      <c r="AN33" s="621"/>
      <c r="BJ33" s="226"/>
    </row>
    <row r="34" spans="1:62" x14ac:dyDescent="0.2">
      <c r="A34" s="566">
        <f t="shared" si="1"/>
        <v>28</v>
      </c>
      <c r="B34" s="720"/>
      <c r="C34" s="379" t="s">
        <v>32</v>
      </c>
      <c r="D34" s="227"/>
      <c r="E34" s="444"/>
      <c r="F34" s="444"/>
      <c r="G34" s="444"/>
      <c r="H34" s="444"/>
      <c r="I34" s="444"/>
      <c r="J34" s="444"/>
      <c r="K34" s="444"/>
      <c r="L34" s="444"/>
      <c r="M34" s="739"/>
      <c r="N34" s="739" t="s">
        <v>719</v>
      </c>
      <c r="O34" s="739"/>
      <c r="P34" s="739"/>
      <c r="Q34" s="238" t="str">
        <f>IF(Page1!$T$9="Customary","DIVISION","ZONE")</f>
        <v>DIVISION</v>
      </c>
      <c r="R34" s="1063" t="s">
        <v>925</v>
      </c>
      <c r="S34" s="1063"/>
      <c r="T34" s="724"/>
      <c r="U34" s="802"/>
      <c r="V34" s="548" t="s">
        <v>226</v>
      </c>
      <c r="W34" s="548"/>
      <c r="X34" s="548" t="str">
        <f ca="1">Units!B3</f>
        <v>psig</v>
      </c>
      <c r="Y34" s="550"/>
      <c r="Z34" s="976"/>
      <c r="AA34" s="976"/>
      <c r="AB34" s="781"/>
      <c r="AC34" s="785" t="s">
        <v>227</v>
      </c>
      <c r="AD34" s="986"/>
      <c r="AE34" s="986"/>
      <c r="AF34" s="987"/>
      <c r="AG34" s="988"/>
      <c r="AH34" s="986"/>
      <c r="AI34" s="987"/>
      <c r="AJ34" s="988"/>
      <c r="AK34" s="986"/>
      <c r="AM34" s="739"/>
      <c r="AN34" s="621"/>
      <c r="AR34" s="850"/>
      <c r="AW34" s="868"/>
      <c r="BJ34" s="226"/>
    </row>
    <row r="35" spans="1:62" x14ac:dyDescent="0.2">
      <c r="A35" s="566">
        <f t="shared" si="1"/>
        <v>29</v>
      </c>
      <c r="B35" s="720"/>
      <c r="C35" s="766"/>
      <c r="E35" s="238" t="s">
        <v>201</v>
      </c>
      <c r="F35" s="1052" t="s">
        <v>251</v>
      </c>
      <c r="G35" s="1052"/>
      <c r="H35" s="1052"/>
      <c r="I35" s="1052"/>
      <c r="J35" s="1053" t="s">
        <v>243</v>
      </c>
      <c r="K35" s="1052"/>
      <c r="L35" s="1052"/>
      <c r="M35" s="1052"/>
      <c r="N35" s="724"/>
      <c r="O35" s="724"/>
      <c r="P35" s="226"/>
      <c r="Q35" s="238" t="s">
        <v>230</v>
      </c>
      <c r="R35" s="1052" t="s">
        <v>261</v>
      </c>
      <c r="S35" s="1052"/>
      <c r="T35" s="724"/>
      <c r="U35" s="803"/>
      <c r="V35" s="548" t="s">
        <v>228</v>
      </c>
      <c r="W35" s="548"/>
      <c r="X35" s="548"/>
      <c r="Y35" s="976"/>
      <c r="Z35" s="976"/>
      <c r="AA35" s="976"/>
      <c r="AB35" s="976"/>
      <c r="AC35" s="976"/>
      <c r="AD35" s="976"/>
      <c r="AE35" s="976"/>
      <c r="AF35" s="787"/>
      <c r="AG35" s="787"/>
      <c r="AH35" s="787"/>
      <c r="AI35" s="787"/>
      <c r="AJ35" s="787"/>
      <c r="AK35" s="787"/>
      <c r="AM35" s="739"/>
      <c r="AN35" s="621"/>
      <c r="AR35" s="767"/>
    </row>
    <row r="36" spans="1:62" x14ac:dyDescent="0.2">
      <c r="A36" s="566">
        <f t="shared" si="1"/>
        <v>30</v>
      </c>
      <c r="B36" s="720"/>
      <c r="C36" s="381" t="s">
        <v>208</v>
      </c>
      <c r="D36" s="548"/>
      <c r="E36" s="724"/>
      <c r="F36" s="724"/>
      <c r="G36" s="724"/>
      <c r="H36" s="724"/>
      <c r="I36" s="724"/>
      <c r="J36" s="724"/>
      <c r="K36" s="724"/>
      <c r="L36" s="724"/>
      <c r="M36" s="724"/>
      <c r="N36" s="724"/>
      <c r="O36" s="724"/>
      <c r="P36" s="724"/>
      <c r="Q36" s="977"/>
      <c r="R36" s="977"/>
      <c r="S36" s="724"/>
      <c r="T36" s="761"/>
      <c r="V36" s="226" t="s">
        <v>574</v>
      </c>
      <c r="AI36" s="976"/>
      <c r="AJ36" s="976"/>
      <c r="AK36" s="226" t="s">
        <v>575</v>
      </c>
      <c r="AM36" s="739"/>
      <c r="AN36" s="621"/>
      <c r="BJ36" s="444"/>
    </row>
    <row r="37" spans="1:62" x14ac:dyDescent="0.2">
      <c r="A37" s="566">
        <f t="shared" si="1"/>
        <v>31</v>
      </c>
      <c r="B37" s="720"/>
      <c r="C37" s="560" t="s">
        <v>146</v>
      </c>
      <c r="D37" s="724"/>
      <c r="E37" s="724"/>
      <c r="F37" s="724"/>
      <c r="G37" s="724"/>
      <c r="H37" s="724"/>
      <c r="I37" s="1068"/>
      <c r="J37" s="1068"/>
      <c r="K37" s="569" t="str">
        <f ca="1">Units!B12</f>
        <v>ft</v>
      </c>
      <c r="L37" s="724"/>
      <c r="M37" s="724"/>
      <c r="N37" s="724"/>
      <c r="O37" s="724"/>
      <c r="P37" s="768" t="s">
        <v>147</v>
      </c>
      <c r="Q37" s="1068"/>
      <c r="R37" s="1068"/>
      <c r="S37" s="769" t="str">
        <f ca="1">Units!B6</f>
        <v>in Hg</v>
      </c>
      <c r="T37" s="770"/>
      <c r="U37" s="381" t="s">
        <v>229</v>
      </c>
      <c r="V37" s="548"/>
      <c r="W37" s="548"/>
      <c r="X37" s="548"/>
      <c r="Y37" s="548"/>
      <c r="Z37" s="548"/>
      <c r="AA37" s="549" t="s">
        <v>225</v>
      </c>
      <c r="AB37" s="548"/>
      <c r="AC37" s="976"/>
      <c r="AD37" s="976"/>
      <c r="AE37" s="548" t="str">
        <f ca="1">Units!B3</f>
        <v>psig</v>
      </c>
      <c r="AF37" s="548"/>
      <c r="AG37" s="548" t="s">
        <v>227</v>
      </c>
      <c r="AH37" s="550"/>
      <c r="AI37" s="976"/>
      <c r="AJ37" s="976"/>
      <c r="AK37" s="548" t="str">
        <f ca="1">Units!B3</f>
        <v>psig</v>
      </c>
      <c r="AM37" s="24"/>
      <c r="AN37" s="621"/>
      <c r="BJ37" s="444"/>
    </row>
    <row r="38" spans="1:62" x14ac:dyDescent="0.2">
      <c r="A38" s="566">
        <f t="shared" si="1"/>
        <v>32</v>
      </c>
      <c r="B38" s="720"/>
      <c r="C38" s="548" t="s">
        <v>206</v>
      </c>
      <c r="D38" s="548"/>
      <c r="E38" s="548"/>
      <c r="F38" s="548"/>
      <c r="G38" s="548"/>
      <c r="H38" s="548"/>
      <c r="I38" s="548"/>
      <c r="J38" s="548"/>
      <c r="K38" s="548"/>
      <c r="L38" s="548"/>
      <c r="M38" s="773"/>
      <c r="N38" s="976"/>
      <c r="O38" s="976"/>
      <c r="P38" s="549" t="s">
        <v>47</v>
      </c>
      <c r="Q38" s="986"/>
      <c r="R38" s="986"/>
      <c r="S38" s="548" t="str">
        <f ca="1">Units!B32</f>
        <v>°F</v>
      </c>
      <c r="T38" s="761"/>
      <c r="U38" s="525" t="s">
        <v>573</v>
      </c>
      <c r="V38" s="548"/>
      <c r="W38" s="548"/>
      <c r="X38" s="548"/>
      <c r="Y38" s="548"/>
      <c r="Z38" s="548"/>
      <c r="AA38" s="549"/>
      <c r="AB38" s="548"/>
      <c r="AC38" s="441"/>
      <c r="AD38" s="441"/>
      <c r="AE38" s="548"/>
      <c r="AF38" s="548"/>
      <c r="AG38" s="548"/>
      <c r="AH38" s="550"/>
      <c r="AI38" s="441"/>
      <c r="AJ38" s="441"/>
      <c r="AK38" s="548"/>
      <c r="AM38" s="24"/>
      <c r="AN38" s="621"/>
      <c r="BJ38" s="444"/>
    </row>
    <row r="39" spans="1:62" x14ac:dyDescent="0.2">
      <c r="A39" s="566">
        <f t="shared" si="1"/>
        <v>33</v>
      </c>
      <c r="B39" s="720"/>
      <c r="C39" s="226" t="s">
        <v>210</v>
      </c>
      <c r="D39" s="245"/>
      <c r="E39" s="245"/>
      <c r="F39" s="245"/>
      <c r="G39" s="245"/>
      <c r="H39" s="238"/>
      <c r="I39" s="245"/>
      <c r="J39" s="245"/>
      <c r="K39" s="245"/>
      <c r="L39" s="245"/>
      <c r="M39" s="245"/>
      <c r="N39" s="976"/>
      <c r="O39" s="976"/>
      <c r="P39" s="549" t="s">
        <v>47</v>
      </c>
      <c r="Q39" s="986"/>
      <c r="R39" s="986"/>
      <c r="S39" s="624" t="s">
        <v>211</v>
      </c>
      <c r="T39" s="761"/>
      <c r="U39" s="381"/>
      <c r="V39" s="112"/>
      <c r="W39" s="548"/>
      <c r="X39" s="112"/>
      <c r="Y39" s="548"/>
      <c r="Z39" s="112"/>
      <c r="AA39" s="245"/>
      <c r="AB39" s="975" t="s">
        <v>214</v>
      </c>
      <c r="AC39" s="975"/>
      <c r="AD39" s="975"/>
      <c r="AE39" s="975" t="s">
        <v>170</v>
      </c>
      <c r="AF39" s="975"/>
      <c r="AG39" s="975"/>
      <c r="AH39" s="245"/>
      <c r="AI39" s="245"/>
      <c r="AJ39" s="245"/>
      <c r="AK39" s="245"/>
      <c r="AM39" s="24"/>
      <c r="AN39" s="621"/>
      <c r="BJ39" s="444"/>
    </row>
    <row r="40" spans="1:62" x14ac:dyDescent="0.2">
      <c r="A40" s="566">
        <f t="shared" si="1"/>
        <v>34</v>
      </c>
      <c r="B40" s="720"/>
      <c r="C40" s="379" t="s">
        <v>41</v>
      </c>
      <c r="D40" s="246"/>
      <c r="E40" s="774"/>
      <c r="F40" s="774"/>
      <c r="G40" s="774"/>
      <c r="H40" s="774"/>
      <c r="I40" s="774"/>
      <c r="J40" s="774"/>
      <c r="K40" s="774"/>
      <c r="L40" s="246"/>
      <c r="M40" s="774"/>
      <c r="N40" s="1054" t="s">
        <v>209</v>
      </c>
      <c r="O40" s="1054"/>
      <c r="P40" s="1054"/>
      <c r="Q40" s="1054"/>
      <c r="R40" s="1054"/>
      <c r="S40" s="245"/>
      <c r="T40" s="775"/>
      <c r="U40" s="381"/>
      <c r="W40" s="785" t="s">
        <v>224</v>
      </c>
      <c r="X40" s="548" t="str">
        <f ca="1">Units!B32</f>
        <v>°F</v>
      </c>
      <c r="Y40" s="548"/>
      <c r="Z40" s="551" t="s">
        <v>576</v>
      </c>
      <c r="AA40" s="551"/>
      <c r="AB40" s="970"/>
      <c r="AC40" s="970"/>
      <c r="AD40" s="970"/>
      <c r="AE40" s="970"/>
      <c r="AF40" s="970"/>
      <c r="AG40" s="970"/>
      <c r="AH40" s="551"/>
      <c r="AI40" s="551"/>
      <c r="AJ40" s="551"/>
      <c r="AK40" s="551"/>
      <c r="AM40" s="24"/>
      <c r="AN40" s="621"/>
      <c r="BJ40" s="444"/>
    </row>
    <row r="41" spans="1:62" x14ac:dyDescent="0.2">
      <c r="A41" s="566">
        <f t="shared" si="1"/>
        <v>35</v>
      </c>
      <c r="B41" s="720"/>
      <c r="C41" s="226"/>
      <c r="D41" s="776" t="str">
        <f>IF(N40="OTHER","•","")</f>
        <v>•</v>
      </c>
      <c r="E41" s="713" t="str">
        <f>IF(N40="OTHER","SPECIFY OTHER :","")</f>
        <v>SPECIFY OTHER :</v>
      </c>
      <c r="F41" s="444"/>
      <c r="G41" s="543"/>
      <c r="H41" s="543"/>
      <c r="I41" s="543"/>
      <c r="J41" s="642"/>
      <c r="K41" s="642"/>
      <c r="L41" s="642"/>
      <c r="M41" s="642"/>
      <c r="N41" s="1069"/>
      <c r="O41" s="1069"/>
      <c r="P41" s="1069"/>
      <c r="Q41" s="1069"/>
      <c r="R41" s="1069"/>
      <c r="S41" s="777"/>
      <c r="T41" s="775"/>
      <c r="U41" s="381"/>
      <c r="Y41" s="548"/>
      <c r="Z41" s="553" t="s">
        <v>577</v>
      </c>
      <c r="AA41" s="552"/>
      <c r="AB41" s="970"/>
      <c r="AC41" s="970"/>
      <c r="AD41" s="970"/>
      <c r="AE41" s="970"/>
      <c r="AF41" s="970"/>
      <c r="AG41" s="970"/>
      <c r="AH41" s="552"/>
      <c r="AI41" s="552"/>
      <c r="AJ41" s="552"/>
      <c r="AK41" s="552"/>
      <c r="AM41" s="24" t="s">
        <v>16</v>
      </c>
      <c r="AN41" s="621"/>
      <c r="BJ41" s="444"/>
    </row>
    <row r="42" spans="1:62" x14ac:dyDescent="0.2">
      <c r="A42" s="566">
        <f t="shared" si="1"/>
        <v>36</v>
      </c>
      <c r="B42" s="720"/>
      <c r="C42" s="381" t="s">
        <v>212</v>
      </c>
      <c r="D42" s="444"/>
      <c r="E42" s="444"/>
      <c r="F42" s="444"/>
      <c r="G42" s="444"/>
      <c r="H42" s="444"/>
      <c r="I42" s="444"/>
      <c r="J42" s="778"/>
      <c r="K42" s="724"/>
      <c r="L42" s="724"/>
      <c r="M42" s="724"/>
      <c r="N42" s="724"/>
      <c r="O42" s="756"/>
      <c r="P42" s="444"/>
      <c r="Q42" s="444"/>
      <c r="R42" s="444"/>
      <c r="S42" s="739"/>
      <c r="T42" s="761"/>
      <c r="U42" s="381"/>
      <c r="W42" s="785" t="s">
        <v>226</v>
      </c>
      <c r="X42" s="548" t="str">
        <f ca="1">Units!B3</f>
        <v>psig</v>
      </c>
      <c r="Y42" s="548"/>
      <c r="Z42" s="553" t="s">
        <v>576</v>
      </c>
      <c r="AA42" s="552"/>
      <c r="AB42" s="970"/>
      <c r="AC42" s="970"/>
      <c r="AD42" s="970"/>
      <c r="AE42" s="970"/>
      <c r="AF42" s="970"/>
      <c r="AG42" s="970"/>
      <c r="AH42" s="552"/>
      <c r="AI42" s="552"/>
      <c r="AJ42" s="552"/>
      <c r="AK42" s="552"/>
      <c r="AM42" s="24"/>
      <c r="AN42" s="621"/>
    </row>
    <row r="43" spans="1:62" x14ac:dyDescent="0.2">
      <c r="A43" s="566">
        <f t="shared" si="1"/>
        <v>37</v>
      </c>
      <c r="B43" s="720"/>
      <c r="C43" s="381" t="s">
        <v>213</v>
      </c>
      <c r="D43" s="722"/>
      <c r="E43" s="548"/>
      <c r="F43" s="548"/>
      <c r="G43" s="548"/>
      <c r="H43" s="1046" t="s">
        <v>214</v>
      </c>
      <c r="I43" s="1046"/>
      <c r="J43" s="1047"/>
      <c r="K43" s="1045" t="s">
        <v>170</v>
      </c>
      <c r="L43" s="1046"/>
      <c r="M43" s="1047"/>
      <c r="N43" s="1045" t="s">
        <v>215</v>
      </c>
      <c r="O43" s="1046"/>
      <c r="P43" s="1047"/>
      <c r="Q43" s="1045" t="s">
        <v>216</v>
      </c>
      <c r="R43" s="1046"/>
      <c r="S43" s="1046"/>
      <c r="T43" s="779"/>
      <c r="U43" s="381"/>
      <c r="V43" s="548"/>
      <c r="W43" s="548"/>
      <c r="X43" s="548"/>
      <c r="Y43" s="548"/>
      <c r="Z43" s="553" t="s">
        <v>577</v>
      </c>
      <c r="AA43" s="552"/>
      <c r="AB43" s="970"/>
      <c r="AC43" s="970"/>
      <c r="AD43" s="970"/>
      <c r="AE43" s="970"/>
      <c r="AF43" s="970"/>
      <c r="AG43" s="970"/>
      <c r="AH43" s="552"/>
      <c r="AI43" s="552"/>
      <c r="AJ43" s="552"/>
      <c r="AK43" s="552"/>
      <c r="AM43" s="24"/>
      <c r="AN43" s="621"/>
      <c r="BJ43" s="739"/>
    </row>
    <row r="44" spans="1:62" x14ac:dyDescent="0.2">
      <c r="A44" s="566">
        <f t="shared" si="1"/>
        <v>38</v>
      </c>
      <c r="B44" s="720"/>
      <c r="C44" s="781"/>
      <c r="D44" s="548" t="s">
        <v>217</v>
      </c>
      <c r="E44" s="548"/>
      <c r="F44" s="548"/>
      <c r="G44" s="548"/>
      <c r="H44" s="976"/>
      <c r="I44" s="976"/>
      <c r="J44" s="1066"/>
      <c r="K44" s="1000"/>
      <c r="L44" s="976"/>
      <c r="M44" s="1066"/>
      <c r="N44" s="1000"/>
      <c r="O44" s="976"/>
      <c r="P44" s="1066"/>
      <c r="Q44" s="1000"/>
      <c r="R44" s="976"/>
      <c r="S44" s="976"/>
      <c r="T44" s="782"/>
      <c r="AM44" s="24"/>
      <c r="AN44" s="621"/>
      <c r="BJ44" s="226"/>
    </row>
    <row r="45" spans="1:62" x14ac:dyDescent="0.2">
      <c r="A45" s="566">
        <f t="shared" si="1"/>
        <v>39</v>
      </c>
      <c r="B45" s="720"/>
      <c r="C45" s="781"/>
      <c r="D45" s="548" t="s">
        <v>219</v>
      </c>
      <c r="E45" s="548"/>
      <c r="F45" s="548"/>
      <c r="G45" s="548"/>
      <c r="H45" s="986"/>
      <c r="I45" s="986"/>
      <c r="J45" s="987"/>
      <c r="K45" s="988"/>
      <c r="L45" s="986"/>
      <c r="M45" s="987"/>
      <c r="N45" s="988"/>
      <c r="O45" s="986"/>
      <c r="P45" s="987"/>
      <c r="Q45" s="988"/>
      <c r="R45" s="986"/>
      <c r="S45" s="986"/>
      <c r="T45" s="782"/>
      <c r="AM45" s="50"/>
      <c r="AN45" s="621"/>
    </row>
    <row r="46" spans="1:62" x14ac:dyDescent="0.2">
      <c r="A46" s="566">
        <f t="shared" si="1"/>
        <v>40</v>
      </c>
      <c r="B46" s="730"/>
      <c r="C46" s="781"/>
      <c r="D46" s="722" t="s">
        <v>218</v>
      </c>
      <c r="E46" s="548"/>
      <c r="F46" s="548"/>
      <c r="G46" s="548"/>
      <c r="H46" s="986"/>
      <c r="I46" s="986"/>
      <c r="J46" s="987"/>
      <c r="K46" s="988"/>
      <c r="L46" s="986"/>
      <c r="M46" s="987"/>
      <c r="N46" s="988"/>
      <c r="O46" s="986"/>
      <c r="P46" s="987"/>
      <c r="Q46" s="988"/>
      <c r="R46" s="986"/>
      <c r="S46" s="986"/>
      <c r="T46" s="782"/>
      <c r="AM46" s="24"/>
      <c r="AN46" s="645"/>
      <c r="BJ46" s="226"/>
    </row>
    <row r="47" spans="1:62" ht="3" customHeight="1" x14ac:dyDescent="0.2">
      <c r="A47" s="566"/>
      <c r="B47" s="715"/>
      <c r="T47" s="784"/>
      <c r="AM47" s="50"/>
      <c r="AN47" s="647"/>
      <c r="BJ47" s="51"/>
    </row>
    <row r="48" spans="1:62" x14ac:dyDescent="0.2">
      <c r="A48" s="566">
        <f>A46+1</f>
        <v>41</v>
      </c>
      <c r="B48" s="720"/>
      <c r="C48" s="990" t="s">
        <v>33</v>
      </c>
      <c r="D48" s="991"/>
      <c r="E48" s="991"/>
      <c r="F48" s="991"/>
      <c r="G48" s="991"/>
      <c r="H48" s="991"/>
      <c r="I48" s="991"/>
      <c r="J48" s="991"/>
      <c r="K48" s="991"/>
      <c r="L48" s="991"/>
      <c r="M48" s="991"/>
      <c r="N48" s="991"/>
      <c r="O48" s="991"/>
      <c r="P48" s="991"/>
      <c r="Q48" s="991"/>
      <c r="R48" s="991"/>
      <c r="S48" s="991"/>
      <c r="T48" s="991"/>
      <c r="U48" s="990" t="s">
        <v>750</v>
      </c>
      <c r="V48" s="991"/>
      <c r="W48" s="991"/>
      <c r="X48" s="991"/>
      <c r="Y48" s="991"/>
      <c r="Z48" s="991"/>
      <c r="AA48" s="991"/>
      <c r="AB48" s="991"/>
      <c r="AC48" s="991"/>
      <c r="AD48" s="991"/>
      <c r="AE48" s="991"/>
      <c r="AF48" s="991"/>
      <c r="AG48" s="991"/>
      <c r="AH48" s="991"/>
      <c r="AI48" s="991"/>
      <c r="AJ48" s="991"/>
      <c r="AK48" s="991"/>
      <c r="AL48" s="991"/>
      <c r="AM48" s="992"/>
      <c r="AN48" s="621"/>
      <c r="BJ48" s="739"/>
    </row>
    <row r="49" spans="1:62" x14ac:dyDescent="0.2">
      <c r="A49" s="566">
        <f t="shared" si="1"/>
        <v>42</v>
      </c>
      <c r="B49" s="720"/>
      <c r="C49" s="759" t="s">
        <v>34</v>
      </c>
      <c r="D49" s="49"/>
      <c r="E49" s="24"/>
      <c r="F49" s="739"/>
      <c r="G49" s="739"/>
      <c r="H49" s="739"/>
      <c r="I49" s="546"/>
      <c r="J49" s="998"/>
      <c r="K49" s="998"/>
      <c r="L49" s="998"/>
      <c r="M49" s="998"/>
      <c r="N49" s="998"/>
      <c r="O49" s="444" t="s">
        <v>35</v>
      </c>
      <c r="P49" s="49"/>
      <c r="Q49" s="1071"/>
      <c r="R49" s="1071"/>
      <c r="S49" s="760"/>
      <c r="T49" s="786"/>
      <c r="U49" s="568" t="s">
        <v>563</v>
      </c>
      <c r="V49" s="569"/>
      <c r="W49" s="569"/>
      <c r="X49" s="569"/>
      <c r="Y49" s="569"/>
      <c r="Z49" s="569"/>
      <c r="AA49" s="569"/>
      <c r="AB49" s="289"/>
      <c r="AC49" s="788"/>
      <c r="AD49" s="788"/>
      <c r="AE49" s="788"/>
      <c r="AF49" s="789"/>
      <c r="AG49" s="788"/>
      <c r="AH49" s="989" t="s">
        <v>939</v>
      </c>
      <c r="AI49" s="989"/>
      <c r="AJ49" s="989"/>
      <c r="AK49" s="989"/>
      <c r="AL49" s="729"/>
      <c r="AM49" s="50"/>
      <c r="AN49" s="621"/>
      <c r="BJ49" s="543"/>
    </row>
    <row r="50" spans="1:62" x14ac:dyDescent="0.2">
      <c r="A50" s="566">
        <f t="shared" si="1"/>
        <v>43</v>
      </c>
      <c r="B50" s="720"/>
      <c r="D50" s="466" t="s">
        <v>561</v>
      </c>
      <c r="I50" s="112"/>
      <c r="J50" s="112"/>
      <c r="M50" s="999"/>
      <c r="N50" s="999"/>
      <c r="O50" s="999"/>
      <c r="P50" s="999"/>
      <c r="Q50" s="999"/>
      <c r="R50" s="999"/>
      <c r="T50" s="786"/>
      <c r="U50" s="568" t="s">
        <v>173</v>
      </c>
      <c r="V50" s="569"/>
      <c r="W50" s="569"/>
      <c r="X50" s="569"/>
      <c r="Y50" s="569"/>
      <c r="Z50" s="569"/>
      <c r="AA50" s="569"/>
      <c r="AB50" s="289"/>
      <c r="AC50" s="790"/>
      <c r="AD50" s="790"/>
      <c r="AE50" s="790"/>
      <c r="AF50" s="789"/>
      <c r="AG50" s="569"/>
      <c r="AH50" s="791"/>
      <c r="AI50" s="792"/>
      <c r="AJ50" s="972" t="s">
        <v>917</v>
      </c>
      <c r="AK50" s="972"/>
      <c r="AL50" s="729"/>
      <c r="AM50" s="50"/>
      <c r="AN50" s="621"/>
      <c r="BJ50" s="624"/>
    </row>
    <row r="51" spans="1:62" x14ac:dyDescent="0.2">
      <c r="A51" s="566">
        <f t="shared" si="1"/>
        <v>44</v>
      </c>
      <c r="B51" s="720"/>
      <c r="C51" s="444" t="s">
        <v>178</v>
      </c>
      <c r="D51" s="227"/>
      <c r="E51" s="24"/>
      <c r="F51" s="444"/>
      <c r="G51" s="762" t="s">
        <v>179</v>
      </c>
      <c r="H51" s="139"/>
      <c r="I51" s="997"/>
      <c r="J51" s="997"/>
      <c r="K51" s="739" t="s">
        <v>28</v>
      </c>
      <c r="L51" s="739"/>
      <c r="M51" s="997"/>
      <c r="N51" s="997"/>
      <c r="O51" s="444" t="s">
        <v>29</v>
      </c>
      <c r="P51" s="739"/>
      <c r="Q51" s="994"/>
      <c r="R51" s="994"/>
      <c r="S51" s="713" t="str">
        <f ca="1">Units!B13</f>
        <v>in.</v>
      </c>
      <c r="T51" s="550"/>
      <c r="U51" s="568" t="s">
        <v>564</v>
      </c>
      <c r="V51" s="569"/>
      <c r="W51" s="569"/>
      <c r="X51" s="569"/>
      <c r="Y51" s="569"/>
      <c r="Z51" s="569"/>
      <c r="AA51" s="569"/>
      <c r="AB51" s="289"/>
      <c r="AC51" s="790"/>
      <c r="AD51" s="790"/>
      <c r="AE51" s="790"/>
      <c r="AF51" s="789"/>
      <c r="AG51" s="569"/>
      <c r="AH51" s="791"/>
      <c r="AI51" s="792"/>
      <c r="AJ51" s="971" t="s">
        <v>917</v>
      </c>
      <c r="AK51" s="971"/>
      <c r="AL51" s="729"/>
      <c r="AM51" s="50"/>
      <c r="AN51" s="621"/>
    </row>
    <row r="52" spans="1:62" x14ac:dyDescent="0.2">
      <c r="A52" s="566">
        <f t="shared" si="1"/>
        <v>45</v>
      </c>
      <c r="B52" s="720"/>
      <c r="C52" s="764"/>
      <c r="D52" s="227"/>
      <c r="E52" s="24"/>
      <c r="F52" s="444"/>
      <c r="G52" s="765" t="s">
        <v>36</v>
      </c>
      <c r="H52" s="543"/>
      <c r="I52" s="993"/>
      <c r="J52" s="993"/>
      <c r="K52" s="727" t="str">
        <f ca="1">Units!B29</f>
        <v>HP</v>
      </c>
      <c r="L52" s="739"/>
      <c r="M52" s="739"/>
      <c r="N52" s="739"/>
      <c r="O52" s="743" t="s">
        <v>180</v>
      </c>
      <c r="P52" s="543"/>
      <c r="Q52" s="996"/>
      <c r="R52" s="996"/>
      <c r="S52" s="727" t="s">
        <v>37</v>
      </c>
      <c r="T52" s="548"/>
      <c r="U52" s="568" t="s">
        <v>565</v>
      </c>
      <c r="V52" s="154"/>
      <c r="W52" s="729"/>
      <c r="X52" s="729"/>
      <c r="Y52" s="729"/>
      <c r="Z52" s="729"/>
      <c r="AA52" s="729"/>
      <c r="AB52" s="729"/>
      <c r="AC52" s="729"/>
      <c r="AD52" s="729"/>
      <c r="AE52" s="729"/>
      <c r="AF52" s="729"/>
      <c r="AG52" s="729"/>
      <c r="AH52" s="972" t="s">
        <v>918</v>
      </c>
      <c r="AI52" s="972"/>
      <c r="AJ52" s="972"/>
      <c r="AK52" s="972"/>
      <c r="AL52" s="729"/>
      <c r="AM52" s="567"/>
      <c r="AN52" s="621"/>
    </row>
    <row r="53" spans="1:62" x14ac:dyDescent="0.2">
      <c r="A53" s="566">
        <f t="shared" si="1"/>
        <v>46</v>
      </c>
      <c r="B53" s="730"/>
      <c r="C53" s="242" t="s">
        <v>572</v>
      </c>
      <c r="Q53" s="994" t="s">
        <v>937</v>
      </c>
      <c r="R53" s="994"/>
      <c r="S53" s="230" t="str">
        <f ca="1">Units!B19</f>
        <v>gpm</v>
      </c>
      <c r="T53" s="548"/>
      <c r="U53" s="568" t="s">
        <v>209</v>
      </c>
      <c r="V53" s="793"/>
      <c r="W53" s="729"/>
      <c r="X53" s="570"/>
      <c r="Y53" s="729"/>
      <c r="Z53" s="729"/>
      <c r="AA53" s="729"/>
      <c r="AB53" s="729"/>
      <c r="AC53" s="729"/>
      <c r="AD53" s="729"/>
      <c r="AE53" s="729"/>
      <c r="AF53" s="729"/>
      <c r="AG53" s="729"/>
      <c r="AH53" s="979"/>
      <c r="AI53" s="979"/>
      <c r="AJ53" s="979"/>
      <c r="AK53" s="979"/>
      <c r="AL53" s="729"/>
      <c r="AM53" s="567"/>
      <c r="AN53" s="645"/>
    </row>
    <row r="54" spans="1:62" x14ac:dyDescent="0.2">
      <c r="A54" s="566">
        <f t="shared" si="1"/>
        <v>47</v>
      </c>
      <c r="B54" s="730"/>
      <c r="C54" s="229" t="s">
        <v>181</v>
      </c>
      <c r="D54" s="226"/>
      <c r="E54" s="226"/>
      <c r="F54" s="444"/>
      <c r="G54" s="226"/>
      <c r="H54" s="765" t="s">
        <v>38</v>
      </c>
      <c r="I54" s="997"/>
      <c r="J54" s="997"/>
      <c r="K54" s="713" t="str">
        <f ca="1">Units!B19</f>
        <v>gpm</v>
      </c>
      <c r="L54" s="444"/>
      <c r="M54" s="226"/>
      <c r="N54" s="444"/>
      <c r="O54" s="765" t="s">
        <v>39</v>
      </c>
      <c r="P54" s="543"/>
      <c r="Q54" s="994"/>
      <c r="R54" s="994"/>
      <c r="S54" s="713" t="str">
        <f ca="1">Units!B19</f>
        <v>gpm</v>
      </c>
      <c r="T54" s="548"/>
      <c r="U54" s="571" t="s">
        <v>25</v>
      </c>
      <c r="V54" s="793"/>
      <c r="W54" s="729"/>
      <c r="X54" s="729"/>
      <c r="Y54" s="729"/>
      <c r="Z54" s="729"/>
      <c r="AA54" s="729"/>
      <c r="AB54" s="729"/>
      <c r="AC54" s="729"/>
      <c r="AD54" s="729"/>
      <c r="AE54" s="729"/>
      <c r="AF54" s="729"/>
      <c r="AG54" s="729"/>
      <c r="AH54" s="979" t="s">
        <v>938</v>
      </c>
      <c r="AI54" s="979"/>
      <c r="AJ54" s="979"/>
      <c r="AK54" s="979"/>
      <c r="AL54" s="729"/>
      <c r="AM54" s="567"/>
      <c r="AN54" s="645"/>
    </row>
    <row r="55" spans="1:62" x14ac:dyDescent="0.2">
      <c r="A55" s="566">
        <f t="shared" si="1"/>
        <v>48</v>
      </c>
      <c r="B55" s="730"/>
      <c r="C55" s="764" t="s">
        <v>726</v>
      </c>
      <c r="D55" s="227"/>
      <c r="E55" s="226"/>
      <c r="F55" s="444"/>
      <c r="G55" s="469"/>
      <c r="H55" s="739"/>
      <c r="I55" s="739"/>
      <c r="J55" s="739"/>
      <c r="K55" s="49"/>
      <c r="L55" s="771"/>
      <c r="N55" s="997"/>
      <c r="O55" s="997"/>
      <c r="P55" s="772" t="s">
        <v>148</v>
      </c>
      <c r="Q55" s="995"/>
      <c r="R55" s="995"/>
      <c r="S55" s="713" t="str">
        <f ca="1">Units!B19</f>
        <v>gpm</v>
      </c>
      <c r="T55" s="548"/>
      <c r="U55" s="572" t="s">
        <v>566</v>
      </c>
      <c r="V55" s="793"/>
      <c r="W55" s="729"/>
      <c r="X55" s="729"/>
      <c r="Y55" s="729"/>
      <c r="Z55" s="729"/>
      <c r="AA55" s="729"/>
      <c r="AB55" s="729"/>
      <c r="AC55" s="729"/>
      <c r="AD55" s="729"/>
      <c r="AE55" s="729"/>
      <c r="AF55" s="729"/>
      <c r="AG55" s="729"/>
      <c r="AH55" s="794"/>
      <c r="AI55" s="794"/>
      <c r="AJ55" s="979"/>
      <c r="AK55" s="979"/>
      <c r="AL55" s="729" t="str">
        <f ca="1">Units!B29</f>
        <v>HP</v>
      </c>
      <c r="AM55" s="567"/>
      <c r="AN55" s="645"/>
    </row>
    <row r="56" spans="1:62" x14ac:dyDescent="0.2">
      <c r="A56" s="566">
        <f t="shared" si="1"/>
        <v>49</v>
      </c>
      <c r="B56" s="730"/>
      <c r="C56" s="444" t="s">
        <v>40</v>
      </c>
      <c r="D56" s="227"/>
      <c r="E56" s="226"/>
      <c r="F56" s="444"/>
      <c r="G56" s="469"/>
      <c r="H56" s="739"/>
      <c r="I56" s="739"/>
      <c r="J56" s="739"/>
      <c r="K56" s="49"/>
      <c r="L56" s="771"/>
      <c r="N56" s="997"/>
      <c r="O56" s="997"/>
      <c r="P56" s="772" t="s">
        <v>148</v>
      </c>
      <c r="Q56" s="994"/>
      <c r="R56" s="994"/>
      <c r="S56" s="713" t="str">
        <f ca="1">Units!B19</f>
        <v>gpm</v>
      </c>
      <c r="T56" s="548"/>
      <c r="U56" s="572" t="s">
        <v>567</v>
      </c>
      <c r="V56" s="793"/>
      <c r="W56" s="729"/>
      <c r="X56" s="729"/>
      <c r="Y56" s="729"/>
      <c r="Z56" s="729"/>
      <c r="AA56" s="729"/>
      <c r="AB56" s="729"/>
      <c r="AC56" s="729"/>
      <c r="AD56" s="729"/>
      <c r="AE56" s="729"/>
      <c r="AF56" s="729"/>
      <c r="AG56" s="729"/>
      <c r="AH56" s="794"/>
      <c r="AI56" s="794"/>
      <c r="AJ56" s="979"/>
      <c r="AK56" s="979"/>
      <c r="AL56" s="729"/>
      <c r="AM56" s="567"/>
      <c r="AN56" s="645"/>
    </row>
    <row r="57" spans="1:62" x14ac:dyDescent="0.2">
      <c r="A57" s="566">
        <f t="shared" si="1"/>
        <v>50</v>
      </c>
      <c r="B57" s="730"/>
      <c r="C57" s="444" t="s">
        <v>42</v>
      </c>
      <c r="D57" s="227"/>
      <c r="E57" s="24"/>
      <c r="F57" s="444"/>
      <c r="G57" s="33"/>
      <c r="H57" s="33"/>
      <c r="I57" s="33"/>
      <c r="J57" s="33"/>
      <c r="K57" s="33"/>
      <c r="L57" s="543"/>
      <c r="M57" s="543"/>
      <c r="N57" s="543"/>
      <c r="O57" s="543"/>
      <c r="P57" s="771"/>
      <c r="Q57" s="994"/>
      <c r="R57" s="994"/>
      <c r="S57" s="727" t="str">
        <f ca="1">Units!B11</f>
        <v>ft</v>
      </c>
      <c r="T57" s="548"/>
      <c r="U57" s="571" t="s">
        <v>568</v>
      </c>
      <c r="V57" s="793"/>
      <c r="W57" s="729"/>
      <c r="X57" s="729"/>
      <c r="Y57" s="729"/>
      <c r="Z57" s="729"/>
      <c r="AA57" s="729"/>
      <c r="AB57" s="729"/>
      <c r="AC57" s="729"/>
      <c r="AD57" s="729"/>
      <c r="AE57" s="729"/>
      <c r="AF57" s="729"/>
      <c r="AG57" s="729"/>
      <c r="AH57" s="794"/>
      <c r="AI57" s="794"/>
      <c r="AJ57" s="979"/>
      <c r="AK57" s="979"/>
      <c r="AL57" s="729"/>
      <c r="AM57" s="567"/>
      <c r="AN57" s="645"/>
    </row>
    <row r="58" spans="1:62" x14ac:dyDescent="0.2">
      <c r="A58" s="566">
        <f t="shared" si="1"/>
        <v>51</v>
      </c>
      <c r="B58" s="730"/>
      <c r="C58" s="444" t="s">
        <v>43</v>
      </c>
      <c r="D58" s="227"/>
      <c r="E58" s="24"/>
      <c r="F58" s="444"/>
      <c r="G58" s="33"/>
      <c r="H58" s="33"/>
      <c r="I58" s="33"/>
      <c r="J58" s="33"/>
      <c r="K58" s="33"/>
      <c r="L58" s="543"/>
      <c r="M58" s="543" t="s">
        <v>727</v>
      </c>
      <c r="N58" s="543"/>
      <c r="O58" s="543"/>
      <c r="P58" s="771"/>
      <c r="Q58" s="994"/>
      <c r="R58" s="994"/>
      <c r="S58" s="727" t="str">
        <f ca="1">Units!B29</f>
        <v>HP</v>
      </c>
      <c r="T58" s="548"/>
      <c r="U58" s="571" t="s">
        <v>569</v>
      </c>
      <c r="V58" s="793"/>
      <c r="W58" s="729"/>
      <c r="X58" s="729"/>
      <c r="Y58" s="729"/>
      <c r="Z58" s="729"/>
      <c r="AA58" s="729"/>
      <c r="AB58" s="729"/>
      <c r="AC58" s="729"/>
      <c r="AD58" s="729"/>
      <c r="AE58" s="729"/>
      <c r="AF58" s="729"/>
      <c r="AG58" s="729"/>
      <c r="AH58" s="794"/>
      <c r="AI58" s="794"/>
      <c r="AJ58" s="979"/>
      <c r="AK58" s="979"/>
      <c r="AL58" s="729"/>
      <c r="AM58" s="567"/>
      <c r="AN58" s="645"/>
    </row>
    <row r="59" spans="1:62" x14ac:dyDescent="0.2">
      <c r="A59" s="566">
        <f t="shared" si="1"/>
        <v>52</v>
      </c>
      <c r="B59" s="730"/>
      <c r="C59" s="444" t="s">
        <v>850</v>
      </c>
      <c r="D59" s="227"/>
      <c r="E59" s="24"/>
      <c r="F59" s="444"/>
      <c r="G59" s="33"/>
      <c r="H59" s="33"/>
      <c r="I59" s="33"/>
      <c r="J59" s="33"/>
      <c r="K59" s="240"/>
      <c r="L59" s="240"/>
      <c r="M59" s="226"/>
      <c r="N59" s="226"/>
      <c r="O59" s="543"/>
      <c r="P59" s="226"/>
      <c r="Q59" s="1072"/>
      <c r="R59" s="1072"/>
      <c r="S59" s="729" t="str">
        <f ca="1">Units!B11</f>
        <v>ft</v>
      </c>
      <c r="T59" s="548"/>
      <c r="U59" s="568" t="s">
        <v>570</v>
      </c>
      <c r="V59" s="793"/>
      <c r="W59" s="729"/>
      <c r="X59" s="729"/>
      <c r="Y59" s="729"/>
      <c r="Z59" s="729"/>
      <c r="AA59" s="729"/>
      <c r="AB59" s="729"/>
      <c r="AC59" s="729"/>
      <c r="AD59" s="729"/>
      <c r="AE59" s="729"/>
      <c r="AF59" s="729"/>
      <c r="AG59" s="729"/>
      <c r="AH59" s="972" t="s">
        <v>919</v>
      </c>
      <c r="AI59" s="972"/>
      <c r="AJ59" s="972"/>
      <c r="AK59" s="972"/>
      <c r="AL59" s="729"/>
      <c r="AM59" s="567"/>
      <c r="AN59" s="645"/>
    </row>
    <row r="60" spans="1:62" x14ac:dyDescent="0.2">
      <c r="A60" s="566">
        <f t="shared" si="1"/>
        <v>53</v>
      </c>
      <c r="B60" s="730"/>
      <c r="C60" s="226" t="s">
        <v>853</v>
      </c>
      <c r="Q60" s="1070"/>
      <c r="R60" s="1070"/>
      <c r="S60" s="729" t="str">
        <f ca="1">Units!B11</f>
        <v>ft</v>
      </c>
      <c r="T60" s="548"/>
      <c r="U60" s="571" t="s">
        <v>571</v>
      </c>
      <c r="V60" s="793"/>
      <c r="W60" s="729"/>
      <c r="X60" s="729"/>
      <c r="Y60" s="729"/>
      <c r="Z60" s="729"/>
      <c r="AA60" s="729"/>
      <c r="AB60" s="729"/>
      <c r="AC60" s="729"/>
      <c r="AD60" s="729"/>
      <c r="AE60" s="729"/>
      <c r="AF60" s="729"/>
      <c r="AG60" s="729"/>
      <c r="AH60" s="981"/>
      <c r="AI60" s="981"/>
      <c r="AJ60" s="981"/>
      <c r="AK60" s="981"/>
      <c r="AL60" s="729"/>
      <c r="AM60" s="567"/>
      <c r="AN60" s="645"/>
    </row>
    <row r="61" spans="1:62" x14ac:dyDescent="0.2">
      <c r="A61" s="566">
        <f t="shared" si="1"/>
        <v>54</v>
      </c>
      <c r="B61" s="730"/>
      <c r="C61" s="780" t="s">
        <v>851</v>
      </c>
      <c r="D61" s="226"/>
      <c r="E61" s="226"/>
      <c r="F61" s="226"/>
      <c r="G61" s="226"/>
      <c r="H61" s="226"/>
      <c r="I61" s="226"/>
      <c r="J61" s="226"/>
      <c r="K61" s="240"/>
      <c r="L61" s="240"/>
      <c r="M61" s="226"/>
      <c r="N61" s="226"/>
      <c r="O61" s="226"/>
      <c r="P61" s="226"/>
      <c r="Q61" s="1073"/>
      <c r="R61" s="1073"/>
      <c r="S61" s="729" t="str">
        <f ca="1">Units!B11</f>
        <v>ft</v>
      </c>
      <c r="T61" s="548"/>
      <c r="U61" s="571" t="s">
        <v>863</v>
      </c>
      <c r="V61" s="793"/>
      <c r="W61" s="729"/>
      <c r="X61" s="729"/>
      <c r="Y61" s="729"/>
      <c r="Z61" s="729"/>
      <c r="AA61" s="729"/>
      <c r="AB61" s="729"/>
      <c r="AC61" s="729"/>
      <c r="AD61" s="729"/>
      <c r="AE61" s="729"/>
      <c r="AF61" s="729"/>
      <c r="AG61" s="729"/>
      <c r="AH61" s="982"/>
      <c r="AI61" s="982"/>
      <c r="AJ61" s="982"/>
      <c r="AK61" s="982"/>
      <c r="AL61" s="729"/>
      <c r="AM61" s="567"/>
      <c r="AN61" s="645"/>
    </row>
    <row r="62" spans="1:62" x14ac:dyDescent="0.2">
      <c r="A62" s="566">
        <f t="shared" si="1"/>
        <v>55</v>
      </c>
      <c r="B62" s="730"/>
      <c r="C62" s="444" t="s">
        <v>728</v>
      </c>
      <c r="D62" s="227"/>
      <c r="E62" s="24"/>
      <c r="F62" s="444"/>
      <c r="G62" s="33"/>
      <c r="H62" s="33"/>
      <c r="I62" s="33"/>
      <c r="J62" s="33"/>
      <c r="K62" s="226"/>
      <c r="L62" s="226"/>
      <c r="M62" s="226"/>
      <c r="O62" s="543"/>
      <c r="P62" s="783" t="str">
        <f ca="1">Units!B73</f>
        <v>gpm,rpm,ft</v>
      </c>
      <c r="Q62" s="1074"/>
      <c r="R62" s="1074"/>
      <c r="S62" s="226"/>
      <c r="T62" s="548"/>
      <c r="U62" s="571" t="s">
        <v>59</v>
      </c>
      <c r="V62" s="793"/>
      <c r="W62" s="729"/>
      <c r="X62" s="729"/>
      <c r="Y62" s="729"/>
      <c r="Z62" s="729"/>
      <c r="AA62" s="729"/>
      <c r="AB62" s="729"/>
      <c r="AC62" s="729"/>
      <c r="AD62" s="729"/>
      <c r="AE62" s="729"/>
      <c r="AF62" s="729"/>
      <c r="AG62" s="729"/>
      <c r="AH62" s="983" t="s">
        <v>47</v>
      </c>
      <c r="AI62" s="984"/>
      <c r="AJ62" s="984"/>
      <c r="AK62" s="984"/>
      <c r="AL62" s="729"/>
      <c r="AM62" s="567"/>
      <c r="AN62" s="645"/>
    </row>
    <row r="63" spans="1:62" x14ac:dyDescent="0.2">
      <c r="A63" s="566">
        <f t="shared" si="1"/>
        <v>56</v>
      </c>
      <c r="B63" s="730"/>
      <c r="C63" s="466" t="s">
        <v>562</v>
      </c>
      <c r="T63" s="548"/>
      <c r="U63" s="571" t="s">
        <v>62</v>
      </c>
      <c r="V63" s="793"/>
      <c r="W63" s="729"/>
      <c r="X63" s="729"/>
      <c r="Y63" s="729"/>
      <c r="Z63" s="729"/>
      <c r="AA63" s="729"/>
      <c r="AB63" s="729"/>
      <c r="AC63" s="729"/>
      <c r="AD63" s="729"/>
      <c r="AE63" s="729"/>
      <c r="AF63" s="729"/>
      <c r="AG63" s="729"/>
      <c r="AH63" s="985" t="s">
        <v>47</v>
      </c>
      <c r="AI63" s="979"/>
      <c r="AJ63" s="979"/>
      <c r="AK63" s="979"/>
      <c r="AL63" s="729"/>
      <c r="AM63" s="567"/>
      <c r="AN63" s="645"/>
    </row>
    <row r="64" spans="1:62" x14ac:dyDescent="0.2">
      <c r="A64" s="566">
        <f t="shared" si="1"/>
        <v>57</v>
      </c>
      <c r="B64" s="730"/>
      <c r="C64" s="444" t="s">
        <v>44</v>
      </c>
      <c r="D64" s="226"/>
      <c r="E64" s="226"/>
      <c r="F64" s="226"/>
      <c r="G64" s="226"/>
      <c r="H64" s="226"/>
      <c r="I64" s="226"/>
      <c r="J64" s="226"/>
      <c r="K64" s="226"/>
      <c r="L64" s="226"/>
      <c r="M64" s="226"/>
      <c r="O64" s="226"/>
      <c r="P64" s="783" t="str">
        <f ca="1">Units!B73</f>
        <v>gpm,rpm,ft</v>
      </c>
      <c r="Q64" s="1021"/>
      <c r="R64" s="1021"/>
      <c r="S64" s="230"/>
      <c r="T64" s="548"/>
      <c r="U64" s="229" t="s">
        <v>854</v>
      </c>
      <c r="V64" s="793"/>
      <c r="W64" s="729"/>
      <c r="X64" s="729"/>
      <c r="Y64" s="729"/>
      <c r="Z64" s="729"/>
      <c r="AA64" s="729"/>
      <c r="AB64" s="729"/>
      <c r="AC64" s="729"/>
      <c r="AD64" s="972" t="s">
        <v>920</v>
      </c>
      <c r="AE64" s="972"/>
      <c r="AF64" s="972"/>
      <c r="AG64" s="972"/>
      <c r="AH64" s="972"/>
      <c r="AI64" s="972"/>
      <c r="AJ64" s="972"/>
      <c r="AK64" s="972"/>
      <c r="AL64" s="729"/>
      <c r="AM64" s="567"/>
      <c r="AN64" s="645"/>
    </row>
    <row r="65" spans="1:40" x14ac:dyDescent="0.2">
      <c r="A65" s="566">
        <f t="shared" si="1"/>
        <v>58</v>
      </c>
      <c r="B65" s="730"/>
      <c r="C65" s="444" t="s">
        <v>866</v>
      </c>
      <c r="D65" s="227"/>
      <c r="E65" s="24"/>
      <c r="F65" s="444"/>
      <c r="G65" s="33"/>
      <c r="H65" s="33"/>
      <c r="I65" s="33"/>
      <c r="J65" s="33"/>
      <c r="K65" s="33"/>
      <c r="L65" s="33"/>
      <c r="M65" s="543"/>
      <c r="N65" s="543"/>
      <c r="O65" s="543"/>
      <c r="P65" s="771"/>
      <c r="Q65" s="1003"/>
      <c r="R65" s="1003"/>
      <c r="S65" s="469" t="s">
        <v>45</v>
      </c>
      <c r="T65" s="548"/>
      <c r="U65" s="229" t="s">
        <v>855</v>
      </c>
      <c r="V65" s="793"/>
      <c r="W65" s="729"/>
      <c r="X65" s="729"/>
      <c r="Y65" s="729"/>
      <c r="Z65" s="729"/>
      <c r="AA65" s="729"/>
      <c r="AB65" s="729"/>
      <c r="AC65" s="729"/>
      <c r="AD65" s="729"/>
      <c r="AE65" s="729"/>
      <c r="AF65" s="729"/>
      <c r="AG65" s="729"/>
      <c r="AH65" s="984"/>
      <c r="AI65" s="984"/>
      <c r="AJ65" s="984"/>
      <c r="AK65" s="984"/>
      <c r="AL65" s="729"/>
      <c r="AM65" s="567"/>
      <c r="AN65" s="645"/>
    </row>
    <row r="66" spans="1:40" x14ac:dyDescent="0.2">
      <c r="A66" s="566">
        <f t="shared" si="1"/>
        <v>59</v>
      </c>
      <c r="B66" s="730"/>
      <c r="C66" s="444" t="s">
        <v>46</v>
      </c>
      <c r="D66" s="227"/>
      <c r="E66" s="24"/>
      <c r="F66" s="444"/>
      <c r="G66" s="739"/>
      <c r="H66" s="739"/>
      <c r="I66" s="739"/>
      <c r="J66" s="739"/>
      <c r="K66" s="739"/>
      <c r="L66" s="543"/>
      <c r="M66" s="543"/>
      <c r="N66" s="543"/>
      <c r="O66" s="543"/>
      <c r="P66" s="771"/>
      <c r="Q66" s="996"/>
      <c r="R66" s="996"/>
      <c r="S66" s="469" t="s">
        <v>45</v>
      </c>
      <c r="T66" s="548"/>
      <c r="U66" s="100"/>
      <c r="AM66" s="567"/>
      <c r="AN66" s="645"/>
    </row>
    <row r="67" spans="1:40" x14ac:dyDescent="0.2">
      <c r="A67" s="566">
        <f t="shared" si="1"/>
        <v>60</v>
      </c>
      <c r="B67" s="730"/>
      <c r="C67" s="466" t="s">
        <v>821</v>
      </c>
      <c r="D67" s="226"/>
      <c r="E67" s="226"/>
      <c r="F67" s="226"/>
      <c r="G67" s="226"/>
      <c r="H67" s="226"/>
      <c r="I67" s="226"/>
      <c r="J67" s="226"/>
      <c r="K67" s="226"/>
      <c r="L67" s="226"/>
      <c r="M67" s="226"/>
      <c r="N67" s="226"/>
      <c r="O67" s="226"/>
      <c r="P67" s="226"/>
      <c r="Q67" s="1003"/>
      <c r="R67" s="1003"/>
      <c r="S67" s="230"/>
      <c r="T67" s="548"/>
      <c r="U67" s="100"/>
      <c r="AM67" s="567"/>
      <c r="AN67" s="645"/>
    </row>
    <row r="68" spans="1:40" x14ac:dyDescent="0.2">
      <c r="A68" s="566">
        <f t="shared" si="1"/>
        <v>61</v>
      </c>
      <c r="B68" s="730"/>
      <c r="C68" s="466" t="s">
        <v>687</v>
      </c>
      <c r="Q68" s="996"/>
      <c r="R68" s="996"/>
      <c r="S68" s="230"/>
      <c r="T68" s="548"/>
      <c r="U68" s="100"/>
      <c r="AM68" s="567"/>
      <c r="AN68" s="645"/>
    </row>
    <row r="69" spans="1:40" ht="4.9000000000000004" customHeight="1" x14ac:dyDescent="0.2">
      <c r="A69" s="566"/>
      <c r="B69" s="795"/>
      <c r="C69" s="143"/>
      <c r="D69" s="143"/>
      <c r="E69" s="143"/>
      <c r="F69" s="143"/>
      <c r="G69" s="143"/>
      <c r="H69" s="143"/>
      <c r="I69" s="143"/>
      <c r="J69" s="143"/>
      <c r="K69" s="143"/>
      <c r="L69" s="143"/>
      <c r="M69" s="143"/>
      <c r="N69" s="143"/>
      <c r="O69" s="143"/>
      <c r="P69" s="143"/>
      <c r="Q69" s="143"/>
      <c r="R69" s="143"/>
      <c r="S69" s="143"/>
      <c r="T69" s="143"/>
      <c r="U69" s="796"/>
      <c r="V69" s="668"/>
      <c r="W69" s="668"/>
      <c r="X69" s="668"/>
      <c r="Y69" s="668"/>
      <c r="Z69" s="668"/>
      <c r="AA69" s="668"/>
      <c r="AB69" s="668"/>
      <c r="AC69" s="668"/>
      <c r="AD69" s="19"/>
      <c r="AE69" s="668"/>
      <c r="AF69" s="668"/>
      <c r="AG69" s="668"/>
      <c r="AH69" s="668"/>
      <c r="AI69" s="668"/>
      <c r="AJ69" s="668"/>
      <c r="AK69" s="668"/>
      <c r="AL69" s="143"/>
      <c r="AM69" s="143"/>
      <c r="AN69" s="611"/>
    </row>
    <row r="70" spans="1:40" x14ac:dyDescent="0.2">
      <c r="A70" s="797"/>
      <c r="B70" s="703"/>
      <c r="C70" s="798" t="s">
        <v>12</v>
      </c>
      <c r="D70" s="798"/>
      <c r="E70" s="798"/>
      <c r="F70" s="798"/>
      <c r="G70" s="798"/>
      <c r="H70" s="798"/>
      <c r="I70" s="1002"/>
      <c r="J70" s="1002"/>
      <c r="K70" s="1002"/>
      <c r="L70" s="1002"/>
      <c r="M70" s="1002"/>
      <c r="N70" s="1002"/>
      <c r="O70" s="1002"/>
      <c r="P70" s="1002"/>
      <c r="Q70" s="1002"/>
      <c r="R70" s="1002"/>
      <c r="S70" s="1002"/>
      <c r="T70" s="1002"/>
      <c r="U70" s="546"/>
      <c r="V70" s="546"/>
      <c r="W70" s="546"/>
      <c r="X70" s="798" t="s">
        <v>48</v>
      </c>
      <c r="Y70" s="798"/>
      <c r="Z70" s="1001"/>
      <c r="AA70" s="1001"/>
      <c r="AB70" s="546"/>
      <c r="AC70" s="546"/>
      <c r="AD70" s="546"/>
      <c r="AE70" s="798" t="s">
        <v>271</v>
      </c>
      <c r="AF70" s="798"/>
      <c r="AG70" s="798"/>
      <c r="AH70" s="978"/>
      <c r="AI70" s="978"/>
      <c r="AJ70" s="799" t="s">
        <v>269</v>
      </c>
      <c r="AK70" s="980" t="str">
        <f>IF(C_PageNo_Total=0,"",C_PageNo_Total)</f>
        <v/>
      </c>
      <c r="AL70" s="980"/>
      <c r="AM70" s="800"/>
      <c r="AN70" s="801"/>
    </row>
    <row r="71" spans="1:40" ht="4.9000000000000004" customHeight="1" x14ac:dyDescent="0.2">
      <c r="A71" s="101"/>
      <c r="B71" s="706"/>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1"/>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topLeftCell="A31" zoomScale="115" zoomScaleNormal="115" workbookViewId="0">
      <selection activeCell="AP33" sqref="AP33"/>
    </sheetView>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90" t="s">
        <v>49</v>
      </c>
      <c r="D4" s="991"/>
      <c r="E4" s="991"/>
      <c r="F4" s="991"/>
      <c r="G4" s="991"/>
      <c r="H4" s="991"/>
      <c r="I4" s="991"/>
      <c r="J4" s="991"/>
      <c r="K4" s="991"/>
      <c r="L4" s="991"/>
      <c r="M4" s="991"/>
      <c r="N4" s="991"/>
      <c r="O4" s="991"/>
      <c r="P4" s="991"/>
      <c r="Q4" s="991"/>
      <c r="R4" s="991"/>
      <c r="S4" s="991"/>
      <c r="T4" s="991"/>
      <c r="U4" s="991"/>
      <c r="V4" s="991"/>
      <c r="W4" s="991"/>
      <c r="X4" s="991"/>
      <c r="Y4" s="991"/>
      <c r="Z4" s="991"/>
      <c r="AA4" s="991"/>
      <c r="AB4" s="991"/>
      <c r="AC4" s="991"/>
      <c r="AD4" s="991"/>
      <c r="AE4" s="991"/>
      <c r="AF4" s="991"/>
      <c r="AG4" s="991"/>
      <c r="AH4" s="991"/>
      <c r="AI4" s="991"/>
      <c r="AJ4" s="991"/>
      <c r="AK4" s="991"/>
      <c r="AL4" s="991"/>
      <c r="AM4" s="992"/>
      <c r="AN4" s="197" t="s">
        <v>7</v>
      </c>
    </row>
    <row r="5" spans="1:40" x14ac:dyDescent="0.2">
      <c r="A5" s="107">
        <f t="shared" ref="A5:A20" si="0">A4+1</f>
        <v>2</v>
      </c>
      <c r="B5" s="107"/>
      <c r="C5" s="35" t="s">
        <v>150</v>
      </c>
      <c r="D5" s="6"/>
      <c r="E5" s="6"/>
      <c r="F5" s="6"/>
      <c r="G5" s="226"/>
      <c r="H5" s="226"/>
      <c r="I5" s="1067"/>
      <c r="J5" s="1067"/>
      <c r="K5" s="383" t="s">
        <v>149</v>
      </c>
      <c r="L5" s="226"/>
      <c r="M5" s="6"/>
      <c r="N5" s="6"/>
      <c r="O5" s="6"/>
      <c r="P5" s="6"/>
      <c r="Q5" s="6"/>
      <c r="R5" s="6"/>
      <c r="S5" s="6"/>
      <c r="T5" s="29"/>
      <c r="U5" s="35" t="s">
        <v>58</v>
      </c>
      <c r="V5" s="6"/>
      <c r="W5" s="6"/>
      <c r="X5" s="6"/>
      <c r="Y5" s="6"/>
      <c r="Z5" s="6"/>
      <c r="AA5" s="226"/>
      <c r="AB5" s="226"/>
      <c r="AC5" s="226"/>
      <c r="AE5" s="1067" t="s">
        <v>913</v>
      </c>
      <c r="AF5" s="1067"/>
      <c r="AG5" s="1067"/>
      <c r="AH5" s="1067"/>
      <c r="AI5" s="1067"/>
      <c r="AJ5" s="1067"/>
      <c r="AK5" s="1067"/>
      <c r="AL5" s="1067"/>
      <c r="AN5" s="806"/>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8"/>
      <c r="AG6" s="1138"/>
      <c r="AH6" s="1138"/>
      <c r="AI6" s="1138"/>
      <c r="AJ6" s="1138"/>
      <c r="AK6" s="1138"/>
      <c r="AL6" s="1138"/>
      <c r="AN6" s="556"/>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7"/>
      <c r="AL7" s="1107"/>
      <c r="AN7" s="556"/>
    </row>
    <row r="8" spans="1:40" x14ac:dyDescent="0.2">
      <c r="A8" s="107">
        <f t="shared" si="0"/>
        <v>5</v>
      </c>
      <c r="B8" s="167"/>
      <c r="C8" s="227"/>
      <c r="D8" s="20"/>
      <c r="E8" s="6"/>
      <c r="F8" s="6"/>
      <c r="G8" s="117"/>
      <c r="H8" s="1125"/>
      <c r="I8" s="1126"/>
      <c r="J8" s="1088" t="s">
        <v>151</v>
      </c>
      <c r="K8" s="1130"/>
      <c r="L8" s="1117" t="s">
        <v>152</v>
      </c>
      <c r="M8" s="1119"/>
      <c r="N8" s="1088" t="s">
        <v>153</v>
      </c>
      <c r="O8" s="1129"/>
      <c r="P8" s="1130"/>
      <c r="Q8" s="1117" t="s">
        <v>154</v>
      </c>
      <c r="R8" s="1118"/>
      <c r="S8" s="1119"/>
      <c r="T8" s="29"/>
      <c r="V8" s="35" t="s">
        <v>61</v>
      </c>
      <c r="W8" s="6"/>
      <c r="X8" s="6"/>
      <c r="Y8" s="6"/>
      <c r="Z8" s="6"/>
      <c r="AA8" s="6"/>
      <c r="AB8" s="6"/>
      <c r="AC8" s="6"/>
      <c r="AD8" s="6"/>
      <c r="AE8" s="6"/>
      <c r="AF8" s="6"/>
      <c r="AG8" s="6"/>
      <c r="AH8" s="6"/>
      <c r="AI8" s="6"/>
      <c r="AJ8" s="6"/>
      <c r="AK8" s="6"/>
      <c r="AL8" s="6"/>
      <c r="AN8" s="556"/>
    </row>
    <row r="9" spans="1:40" x14ac:dyDescent="0.2">
      <c r="A9" s="107">
        <f t="shared" si="0"/>
        <v>6</v>
      </c>
      <c r="B9" s="167"/>
      <c r="C9" s="6" t="s">
        <v>53</v>
      </c>
      <c r="D9" s="6"/>
      <c r="E9" s="6"/>
      <c r="F9" s="6"/>
      <c r="G9" s="117"/>
      <c r="H9" s="1131"/>
      <c r="I9" s="1132"/>
      <c r="J9" s="1134"/>
      <c r="K9" s="1135"/>
      <c r="L9" s="1136"/>
      <c r="M9" s="1137"/>
      <c r="N9" s="1120"/>
      <c r="O9" s="1121"/>
      <c r="P9" s="1122"/>
      <c r="Q9" s="1123"/>
      <c r="R9" s="1099"/>
      <c r="S9" s="1124"/>
      <c r="T9" s="29"/>
      <c r="V9" s="20"/>
      <c r="W9" s="226"/>
      <c r="X9" s="226"/>
      <c r="Y9" s="146" t="s">
        <v>160</v>
      </c>
      <c r="Z9" s="226"/>
      <c r="AA9" s="226" t="s">
        <v>723</v>
      </c>
      <c r="AB9" s="390"/>
      <c r="AC9" s="226"/>
      <c r="AD9" s="226"/>
      <c r="AF9" s="1085"/>
      <c r="AG9" s="1085"/>
      <c r="AH9" s="374" t="str">
        <f ca="1">Units!B3</f>
        <v>psig</v>
      </c>
      <c r="AI9" s="391"/>
      <c r="AJ9" s="129" t="s">
        <v>63</v>
      </c>
      <c r="AK9" s="1080"/>
      <c r="AL9" s="1080"/>
      <c r="AM9" s="372" t="str">
        <f ca="1">Units!B32</f>
        <v>°F</v>
      </c>
      <c r="AN9" s="556"/>
    </row>
    <row r="10" spans="1:40" x14ac:dyDescent="0.2">
      <c r="A10" s="107">
        <f t="shared" si="0"/>
        <v>7</v>
      </c>
      <c r="B10" s="167"/>
      <c r="C10" s="6" t="s">
        <v>54</v>
      </c>
      <c r="D10" s="6"/>
      <c r="E10" s="6"/>
      <c r="F10" s="6"/>
      <c r="G10" s="117"/>
      <c r="H10" s="1102"/>
      <c r="I10" s="1133"/>
      <c r="J10" s="1127"/>
      <c r="K10" s="1128"/>
      <c r="L10" s="1090"/>
      <c r="M10" s="1091"/>
      <c r="N10" s="1090"/>
      <c r="O10" s="1109"/>
      <c r="P10" s="1091"/>
      <c r="Q10" s="1141"/>
      <c r="R10" s="1103"/>
      <c r="S10" s="1142"/>
      <c r="T10" s="386"/>
      <c r="V10" s="6"/>
      <c r="W10" s="6"/>
      <c r="X10" s="226"/>
      <c r="Y10" s="152" t="s">
        <v>161</v>
      </c>
      <c r="Z10" s="226"/>
      <c r="AA10" s="226"/>
      <c r="AB10" s="390"/>
      <c r="AC10" s="226"/>
      <c r="AD10" s="226"/>
      <c r="AF10" s="1080"/>
      <c r="AG10" s="1080"/>
      <c r="AH10" s="374" t="str">
        <f ca="1">Units!B3</f>
        <v>psig</v>
      </c>
      <c r="AI10" s="391"/>
      <c r="AJ10" s="129" t="s">
        <v>63</v>
      </c>
      <c r="AK10" s="1080"/>
      <c r="AL10" s="1080"/>
      <c r="AM10" s="372" t="str">
        <f ca="1">Units!B32</f>
        <v>°F</v>
      </c>
      <c r="AN10" s="556"/>
    </row>
    <row r="11" spans="1:40" x14ac:dyDescent="0.2">
      <c r="A11" s="107">
        <f t="shared" si="0"/>
        <v>8</v>
      </c>
      <c r="B11" s="167"/>
      <c r="C11" s="560" t="s">
        <v>720</v>
      </c>
      <c r="T11" s="387"/>
      <c r="AN11" s="556"/>
    </row>
    <row r="12" spans="1:40" x14ac:dyDescent="0.2">
      <c r="A12" s="107">
        <f t="shared" si="0"/>
        <v>9</v>
      </c>
      <c r="B12" s="167"/>
      <c r="H12" s="1146" t="s">
        <v>205</v>
      </c>
      <c r="I12" s="1147"/>
      <c r="J12" s="1139" t="s">
        <v>151</v>
      </c>
      <c r="K12" s="1089"/>
      <c r="L12" s="1117" t="s">
        <v>594</v>
      </c>
      <c r="M12" s="1087"/>
      <c r="N12" s="1086" t="s">
        <v>152</v>
      </c>
      <c r="O12" s="1087"/>
      <c r="P12" s="1088" t="s">
        <v>153</v>
      </c>
      <c r="Q12" s="1089"/>
      <c r="R12" s="1117" t="s">
        <v>593</v>
      </c>
      <c r="S12" s="1087"/>
      <c r="T12" s="29"/>
      <c r="V12" s="559" t="s">
        <v>590</v>
      </c>
      <c r="W12" s="6"/>
      <c r="X12" s="6"/>
      <c r="Y12" s="6"/>
      <c r="Z12" s="6"/>
      <c r="AA12" s="6"/>
      <c r="AB12" s="6"/>
      <c r="AC12" s="173"/>
      <c r="AD12" s="173"/>
      <c r="AE12" s="120"/>
      <c r="AF12" s="173"/>
      <c r="AG12" s="173"/>
      <c r="AH12" s="173"/>
      <c r="AI12" s="173"/>
      <c r="AJ12" s="173"/>
      <c r="AK12" s="1054"/>
      <c r="AL12" s="1054"/>
      <c r="AN12" s="556"/>
    </row>
    <row r="13" spans="1:40" x14ac:dyDescent="0.2">
      <c r="A13" s="107">
        <f t="shared" si="0"/>
        <v>10</v>
      </c>
      <c r="B13" s="167"/>
      <c r="C13" s="468" t="s">
        <v>592</v>
      </c>
      <c r="D13" s="227"/>
      <c r="E13" s="6"/>
      <c r="F13" s="6"/>
      <c r="G13" s="6"/>
      <c r="H13" s="1127"/>
      <c r="I13" s="1128"/>
      <c r="J13" s="1127"/>
      <c r="K13" s="1128"/>
      <c r="L13" s="1151"/>
      <c r="M13" s="1152"/>
      <c r="N13" s="1090"/>
      <c r="O13" s="1091"/>
      <c r="P13" s="1090"/>
      <c r="Q13" s="1091"/>
      <c r="R13" s="1141"/>
      <c r="S13" s="1142"/>
      <c r="T13" s="29"/>
      <c r="V13" s="468" t="s">
        <v>591</v>
      </c>
      <c r="AK13" s="1054"/>
      <c r="AL13" s="1054"/>
      <c r="AN13" s="556"/>
    </row>
    <row r="14" spans="1:40" x14ac:dyDescent="0.2">
      <c r="A14" s="107">
        <f t="shared" si="0"/>
        <v>11</v>
      </c>
      <c r="B14" s="167"/>
      <c r="C14" s="6" t="s">
        <v>55</v>
      </c>
      <c r="D14" s="6"/>
      <c r="E14" s="6"/>
      <c r="F14" s="6"/>
      <c r="G14" s="6"/>
      <c r="H14" s="1127"/>
      <c r="I14" s="1128"/>
      <c r="J14" s="1127"/>
      <c r="K14" s="1128"/>
      <c r="L14" s="1090"/>
      <c r="M14" s="1091"/>
      <c r="N14" s="1090"/>
      <c r="O14" s="1091"/>
      <c r="P14" s="1090"/>
      <c r="Q14" s="1091"/>
      <c r="R14" s="1127"/>
      <c r="S14" s="1128"/>
      <c r="T14" s="29"/>
      <c r="V14" s="35" t="s">
        <v>64</v>
      </c>
      <c r="W14" s="6"/>
      <c r="X14" s="6"/>
      <c r="Y14" s="6"/>
      <c r="Z14" s="6" t="s">
        <v>65</v>
      </c>
      <c r="AA14" s="226"/>
      <c r="AB14" s="226"/>
      <c r="AC14" s="226"/>
      <c r="AD14" s="226"/>
      <c r="AE14" s="21"/>
      <c r="AF14" s="21"/>
      <c r="AG14" s="21"/>
      <c r="AH14" s="21"/>
      <c r="AJ14" s="13"/>
      <c r="AK14" s="1067"/>
      <c r="AL14" s="1067"/>
      <c r="AN14" s="556"/>
    </row>
    <row r="15" spans="1:40" x14ac:dyDescent="0.2">
      <c r="A15" s="107">
        <f t="shared" si="0"/>
        <v>12</v>
      </c>
      <c r="B15" s="167"/>
      <c r="C15" s="6" t="s">
        <v>56</v>
      </c>
      <c r="D15" s="6"/>
      <c r="E15" s="6"/>
      <c r="F15" s="6"/>
      <c r="G15" s="6"/>
      <c r="H15" s="1127"/>
      <c r="I15" s="1128"/>
      <c r="J15" s="1127"/>
      <c r="K15" s="1128"/>
      <c r="L15" s="1090"/>
      <c r="M15" s="1091"/>
      <c r="N15" s="1090"/>
      <c r="O15" s="1091"/>
      <c r="P15" s="1090"/>
      <c r="Q15" s="1091"/>
      <c r="R15" s="1127"/>
      <c r="S15" s="1128"/>
      <c r="T15" s="29"/>
      <c r="V15" s="6"/>
      <c r="W15" s="20" t="s">
        <v>140</v>
      </c>
      <c r="X15" s="6" t="s">
        <v>155</v>
      </c>
      <c r="Y15" s="6"/>
      <c r="Z15" s="21"/>
      <c r="AA15" s="21"/>
      <c r="AB15" s="21"/>
      <c r="AC15" s="21"/>
      <c r="AD15" s="21"/>
      <c r="AE15" s="21"/>
      <c r="AF15" s="21"/>
      <c r="AG15" s="21"/>
      <c r="AH15" s="226"/>
      <c r="AJ15" s="1054"/>
      <c r="AK15" s="1054"/>
      <c r="AL15" s="1054"/>
      <c r="AN15" s="556"/>
    </row>
    <row r="16" spans="1:40" x14ac:dyDescent="0.2">
      <c r="A16" s="107">
        <f t="shared" si="0"/>
        <v>13</v>
      </c>
      <c r="B16" s="167"/>
      <c r="C16" s="226" t="s">
        <v>595</v>
      </c>
      <c r="D16" s="6"/>
      <c r="E16" s="6"/>
      <c r="F16" s="6"/>
      <c r="G16" s="6"/>
      <c r="H16" s="1127"/>
      <c r="I16" s="1128"/>
      <c r="J16" s="1127"/>
      <c r="K16" s="1128"/>
      <c r="L16" s="1090"/>
      <c r="M16" s="1091"/>
      <c r="N16" s="1090"/>
      <c r="O16" s="1091"/>
      <c r="P16" s="1090"/>
      <c r="Q16" s="1091"/>
      <c r="R16" s="1127"/>
      <c r="S16" s="1128"/>
      <c r="T16" s="29"/>
      <c r="V16" s="20"/>
      <c r="W16" s="20" t="s">
        <v>140</v>
      </c>
      <c r="X16" s="21" t="s">
        <v>684</v>
      </c>
      <c r="Y16" s="21"/>
      <c r="Z16" s="6"/>
      <c r="AA16" s="173"/>
      <c r="AB16" s="173"/>
      <c r="AC16" s="173"/>
      <c r="AD16" s="173"/>
      <c r="AE16" s="173"/>
      <c r="AF16" s="173"/>
      <c r="AG16" s="173"/>
      <c r="AH16" s="173"/>
      <c r="AJ16" s="377"/>
      <c r="AK16" s="1081"/>
      <c r="AL16" s="1081"/>
      <c r="AN16" s="557"/>
    </row>
    <row r="17" spans="1:40" x14ac:dyDescent="0.2">
      <c r="A17" s="107">
        <f t="shared" si="0"/>
        <v>14</v>
      </c>
      <c r="B17" s="167"/>
      <c r="C17" s="226" t="s">
        <v>596</v>
      </c>
      <c r="D17" s="6"/>
      <c r="E17" s="6"/>
      <c r="F17" s="6"/>
      <c r="G17" s="6"/>
      <c r="H17" s="1127"/>
      <c r="I17" s="1128"/>
      <c r="J17" s="1127"/>
      <c r="K17" s="1128"/>
      <c r="L17" s="1090"/>
      <c r="M17" s="1091"/>
      <c r="N17" s="1090"/>
      <c r="O17" s="1091"/>
      <c r="P17" s="1090"/>
      <c r="Q17" s="1091"/>
      <c r="R17" s="1127"/>
      <c r="S17" s="1128"/>
      <c r="T17" s="29"/>
      <c r="W17" s="20" t="s">
        <v>140</v>
      </c>
      <c r="X17" s="579" t="s">
        <v>683</v>
      </c>
      <c r="AK17" s="1081"/>
      <c r="AL17" s="1081"/>
      <c r="AN17" s="556"/>
    </row>
    <row r="18" spans="1:40" x14ac:dyDescent="0.2">
      <c r="A18" s="107">
        <f t="shared" si="0"/>
        <v>15</v>
      </c>
      <c r="B18" s="167"/>
      <c r="C18" s="226" t="s">
        <v>597</v>
      </c>
      <c r="D18" s="6"/>
      <c r="E18" s="21"/>
      <c r="F18" s="21"/>
      <c r="G18" s="21"/>
      <c r="H18" s="1096"/>
      <c r="I18" s="1097"/>
      <c r="J18" s="1096"/>
      <c r="K18" s="1097"/>
      <c r="L18" s="1093"/>
      <c r="M18" s="1094"/>
      <c r="N18" s="1093"/>
      <c r="O18" s="1094"/>
      <c r="P18" s="1093"/>
      <c r="Q18" s="1094"/>
      <c r="R18" s="1154"/>
      <c r="S18" s="1155"/>
      <c r="T18" s="29"/>
      <c r="V18" s="525" t="s">
        <v>599</v>
      </c>
      <c r="AN18" s="556"/>
    </row>
    <row r="19" spans="1:40" ht="12.75" customHeight="1" x14ac:dyDescent="0.2">
      <c r="A19" s="107">
        <f t="shared" si="0"/>
        <v>16</v>
      </c>
      <c r="B19" s="167"/>
      <c r="T19" s="386"/>
      <c r="V19" s="475" t="s">
        <v>800</v>
      </c>
      <c r="AK19" s="999"/>
      <c r="AL19" s="999"/>
      <c r="AN19" s="167"/>
    </row>
    <row r="20" spans="1:40" x14ac:dyDescent="0.2">
      <c r="A20" s="107">
        <f t="shared" si="0"/>
        <v>17</v>
      </c>
      <c r="B20" s="167"/>
      <c r="D20" s="226" t="s">
        <v>583</v>
      </c>
      <c r="P20" s="1067"/>
      <c r="Q20" s="1067"/>
      <c r="R20" s="1067"/>
      <c r="S20" s="1067"/>
      <c r="T20" s="386"/>
      <c r="V20" s="475" t="s">
        <v>600</v>
      </c>
      <c r="AK20" s="1116"/>
      <c r="AL20" s="1116"/>
      <c r="AN20" s="199"/>
    </row>
    <row r="21" spans="1:40" x14ac:dyDescent="0.2">
      <c r="A21" s="107">
        <f t="shared" ref="A21:A27" si="1">A20+1</f>
        <v>18</v>
      </c>
      <c r="B21" s="167"/>
      <c r="D21" s="226" t="s">
        <v>584</v>
      </c>
      <c r="R21" s="1076"/>
      <c r="S21" s="1076"/>
      <c r="T21" s="386"/>
      <c r="V21" s="483" t="s">
        <v>820</v>
      </c>
      <c r="AK21" s="1116"/>
      <c r="AL21" s="1116"/>
      <c r="AN21" s="167"/>
    </row>
    <row r="22" spans="1:40" x14ac:dyDescent="0.2">
      <c r="A22" s="107">
        <f t="shared" si="1"/>
        <v>19</v>
      </c>
      <c r="B22" s="167"/>
      <c r="D22" s="226" t="s">
        <v>585</v>
      </c>
      <c r="P22" s="1067"/>
      <c r="Q22" s="1067"/>
      <c r="R22" s="1067"/>
      <c r="S22" s="1067"/>
      <c r="T22" s="386"/>
      <c r="V22" s="483" t="s">
        <v>802</v>
      </c>
      <c r="AK22" s="1092"/>
      <c r="AL22" s="1092"/>
      <c r="AN22" s="167"/>
    </row>
    <row r="23" spans="1:40" x14ac:dyDescent="0.2">
      <c r="A23" s="107">
        <f t="shared" si="1"/>
        <v>20</v>
      </c>
      <c r="B23" s="167"/>
      <c r="D23" s="226" t="s">
        <v>586</v>
      </c>
      <c r="R23" s="1076"/>
      <c r="S23" s="1076"/>
      <c r="T23" s="29"/>
      <c r="V23" s="475"/>
      <c r="AN23" s="167"/>
    </row>
    <row r="24" spans="1:40" x14ac:dyDescent="0.2">
      <c r="A24" s="107">
        <f t="shared" si="1"/>
        <v>21</v>
      </c>
      <c r="B24" s="167"/>
      <c r="Q24" s="228" t="s">
        <v>877</v>
      </c>
      <c r="R24" s="1075"/>
      <c r="S24" s="1075"/>
      <c r="T24" s="29"/>
      <c r="V24" s="573" t="s">
        <v>751</v>
      </c>
      <c r="W24" s="154"/>
      <c r="X24" s="154"/>
      <c r="Y24" s="154"/>
      <c r="Z24" s="154"/>
      <c r="AA24" s="154"/>
      <c r="AB24" s="843" t="s">
        <v>758</v>
      </c>
      <c r="AC24" s="154"/>
      <c r="AD24" s="154"/>
      <c r="AE24" s="154"/>
      <c r="AF24" s="154"/>
      <c r="AG24" s="154"/>
      <c r="AH24" s="154"/>
      <c r="AI24" s="154"/>
      <c r="AJ24" s="154"/>
      <c r="AK24" s="154"/>
      <c r="AL24" s="154"/>
      <c r="AN24" s="169"/>
    </row>
    <row r="25" spans="1:40" x14ac:dyDescent="0.2">
      <c r="A25" s="107">
        <f t="shared" si="1"/>
        <v>22</v>
      </c>
      <c r="B25" s="167"/>
      <c r="D25" s="226" t="s">
        <v>721</v>
      </c>
      <c r="R25" s="1075"/>
      <c r="S25" s="1075"/>
      <c r="T25" s="386"/>
      <c r="V25" s="548" t="s">
        <v>25</v>
      </c>
      <c r="W25" s="154"/>
      <c r="X25" s="154"/>
      <c r="Y25" s="154"/>
      <c r="Z25" s="154"/>
      <c r="AA25" s="154"/>
      <c r="AB25" s="154"/>
      <c r="AC25" s="154"/>
      <c r="AD25" s="154"/>
      <c r="AE25" s="154"/>
      <c r="AF25" s="154"/>
      <c r="AG25" s="154"/>
      <c r="AH25" s="1145"/>
      <c r="AI25" s="1145"/>
      <c r="AJ25" s="1145"/>
      <c r="AK25" s="1145"/>
      <c r="AL25" s="1145"/>
      <c r="AN25" s="167"/>
    </row>
    <row r="26" spans="1:40" x14ac:dyDescent="0.2">
      <c r="A26" s="107">
        <f t="shared" si="1"/>
        <v>23</v>
      </c>
      <c r="B26" s="167"/>
      <c r="D26" s="226" t="s">
        <v>587</v>
      </c>
      <c r="R26" s="1075"/>
      <c r="S26" s="1075"/>
      <c r="T26" s="29"/>
      <c r="V26" s="548" t="s">
        <v>26</v>
      </c>
      <c r="W26" s="154"/>
      <c r="X26" s="154"/>
      <c r="Y26" s="154"/>
      <c r="Z26" s="154"/>
      <c r="AA26" s="154"/>
      <c r="AB26" s="154"/>
      <c r="AC26" s="154"/>
      <c r="AD26" s="154"/>
      <c r="AE26" s="154"/>
      <c r="AF26" s="154"/>
      <c r="AG26" s="154"/>
      <c r="AH26" s="1144"/>
      <c r="AI26" s="1144"/>
      <c r="AJ26" s="1144"/>
      <c r="AK26" s="1144"/>
      <c r="AL26" s="1144"/>
      <c r="AN26" s="167"/>
    </row>
    <row r="27" spans="1:40" x14ac:dyDescent="0.2">
      <c r="A27" s="107">
        <f t="shared" si="1"/>
        <v>24</v>
      </c>
      <c r="B27" s="167"/>
      <c r="D27" s="226" t="s">
        <v>588</v>
      </c>
      <c r="R27" s="1076"/>
      <c r="S27" s="1076"/>
      <c r="T27" s="29"/>
      <c r="V27" s="548" t="s">
        <v>601</v>
      </c>
      <c r="W27" s="230"/>
      <c r="X27" s="230"/>
      <c r="Y27" s="230"/>
      <c r="Z27" s="230"/>
      <c r="AA27" s="230"/>
      <c r="AB27" s="230"/>
      <c r="AC27" s="230"/>
      <c r="AD27" s="230"/>
      <c r="AE27" s="230"/>
      <c r="AF27" s="230"/>
      <c r="AG27" s="230"/>
      <c r="AH27" s="230"/>
      <c r="AI27" s="230"/>
      <c r="AJ27" s="1143"/>
      <c r="AK27" s="1143"/>
      <c r="AL27" s="1143"/>
      <c r="AN27" s="167"/>
    </row>
    <row r="28" spans="1:40" x14ac:dyDescent="0.2">
      <c r="A28" s="107">
        <f>A27+1</f>
        <v>25</v>
      </c>
      <c r="B28" s="167"/>
      <c r="D28" s="226" t="s">
        <v>589</v>
      </c>
      <c r="R28" s="1075"/>
      <c r="S28" s="1075"/>
      <c r="T28" s="386"/>
      <c r="V28" s="548" t="s">
        <v>50</v>
      </c>
      <c r="W28" s="230"/>
      <c r="X28" s="230"/>
      <c r="Y28" s="230"/>
      <c r="Z28" s="230"/>
      <c r="AA28" s="230"/>
      <c r="AB28" s="230"/>
      <c r="AC28" s="230"/>
      <c r="AD28" s="230"/>
      <c r="AE28" s="230"/>
      <c r="AF28" s="230"/>
      <c r="AG28" s="230"/>
      <c r="AH28" s="230"/>
      <c r="AI28" s="230"/>
      <c r="AK28" s="1143"/>
      <c r="AL28" s="1143"/>
      <c r="AM28" s="230" t="str">
        <f ca="1">Units!B13</f>
        <v>in.</v>
      </c>
      <c r="AN28" s="198"/>
    </row>
    <row r="29" spans="1:40" x14ac:dyDescent="0.2">
      <c r="A29" s="107">
        <f t="shared" ref="A29:A39" si="2">A28+1</f>
        <v>26</v>
      </c>
      <c r="B29" s="167"/>
      <c r="D29" s="579" t="s">
        <v>679</v>
      </c>
      <c r="P29" s="1148"/>
      <c r="Q29" s="1148"/>
      <c r="R29" s="1148"/>
      <c r="S29" s="1148"/>
      <c r="T29" s="29"/>
      <c r="V29" s="548" t="s">
        <v>51</v>
      </c>
      <c r="W29" s="230"/>
      <c r="X29" s="230"/>
      <c r="Y29" s="230"/>
      <c r="Z29" s="230"/>
      <c r="AA29" s="230"/>
      <c r="AB29" s="230"/>
      <c r="AC29" s="230"/>
      <c r="AD29" s="230"/>
      <c r="AE29" s="230"/>
      <c r="AF29" s="230"/>
      <c r="AG29" s="230"/>
      <c r="AH29" s="230"/>
      <c r="AI29" s="230"/>
      <c r="AK29" s="1143"/>
      <c r="AL29" s="1143"/>
      <c r="AM29" s="230"/>
      <c r="AN29" s="167"/>
    </row>
    <row r="30" spans="1:40" x14ac:dyDescent="0.2">
      <c r="A30" s="107">
        <f t="shared" si="2"/>
        <v>27</v>
      </c>
      <c r="B30" s="167"/>
      <c r="D30" s="579" t="s">
        <v>680</v>
      </c>
      <c r="R30" s="1076"/>
      <c r="S30" s="1076"/>
      <c r="T30" s="29"/>
      <c r="V30" s="548" t="s">
        <v>602</v>
      </c>
      <c r="W30" s="230"/>
      <c r="X30" s="230"/>
      <c r="Y30" s="230"/>
      <c r="Z30" s="230"/>
      <c r="AA30" s="230"/>
      <c r="AB30" s="230"/>
      <c r="AC30" s="230"/>
      <c r="AD30" s="230"/>
      <c r="AE30" s="230"/>
      <c r="AF30" s="230"/>
      <c r="AH30" s="230"/>
      <c r="AI30" s="230"/>
      <c r="AJ30" s="230"/>
      <c r="AK30" s="1116"/>
      <c r="AL30" s="1116"/>
      <c r="AN30" s="167"/>
    </row>
    <row r="31" spans="1:40" x14ac:dyDescent="0.2">
      <c r="A31" s="107">
        <f t="shared" si="2"/>
        <v>28</v>
      </c>
      <c r="B31" s="167"/>
      <c r="T31" s="29"/>
      <c r="V31" s="548" t="s">
        <v>755</v>
      </c>
      <c r="W31" s="161"/>
      <c r="X31" s="161"/>
      <c r="Y31" s="161"/>
      <c r="Z31" s="161"/>
      <c r="AA31" s="161"/>
      <c r="AB31" s="161"/>
      <c r="AC31" s="161"/>
      <c r="AD31" s="161"/>
      <c r="AE31" s="161"/>
      <c r="AF31" s="161"/>
      <c r="AH31" s="161"/>
      <c r="AI31" s="161"/>
      <c r="AJ31" s="161"/>
      <c r="AK31" s="1092"/>
      <c r="AL31" s="1092"/>
      <c r="AN31" s="167"/>
    </row>
    <row r="32" spans="1:40" x14ac:dyDescent="0.2">
      <c r="A32" s="107">
        <f t="shared" si="2"/>
        <v>29</v>
      </c>
      <c r="B32" s="167"/>
      <c r="C32" s="990" t="s">
        <v>740</v>
      </c>
      <c r="D32" s="991"/>
      <c r="E32" s="991"/>
      <c r="F32" s="991"/>
      <c r="G32" s="991"/>
      <c r="H32" s="991"/>
      <c r="I32" s="991"/>
      <c r="J32" s="991"/>
      <c r="K32" s="991"/>
      <c r="L32" s="991"/>
      <c r="M32" s="991"/>
      <c r="N32" s="991"/>
      <c r="O32" s="991"/>
      <c r="P32" s="991"/>
      <c r="Q32" s="991"/>
      <c r="R32" s="991"/>
      <c r="S32" s="991"/>
      <c r="T32" s="992"/>
      <c r="V32" s="548" t="s">
        <v>752</v>
      </c>
      <c r="W32" s="161"/>
      <c r="X32" s="161"/>
      <c r="Y32" s="161"/>
      <c r="Z32" s="575"/>
      <c r="AA32" s="575"/>
      <c r="AB32" s="575"/>
      <c r="AC32" s="575"/>
      <c r="AD32" s="575"/>
      <c r="AE32" s="575"/>
      <c r="AF32" s="575"/>
      <c r="AH32" s="575"/>
      <c r="AI32" s="575"/>
      <c r="AJ32" s="575"/>
      <c r="AK32" s="1092"/>
      <c r="AL32" s="1092"/>
      <c r="AN32" s="200"/>
    </row>
    <row r="33" spans="1:40" x14ac:dyDescent="0.2">
      <c r="A33" s="107">
        <f t="shared" si="2"/>
        <v>30</v>
      </c>
      <c r="B33" s="167"/>
      <c r="C33" s="6" t="s">
        <v>57</v>
      </c>
      <c r="D33" s="6"/>
      <c r="E33" s="6"/>
      <c r="F33" s="6"/>
      <c r="G33" s="6"/>
      <c r="H33" s="21"/>
      <c r="I33" s="226"/>
      <c r="J33" s="226"/>
      <c r="K33" s="120"/>
      <c r="L33" s="120"/>
      <c r="M33" s="1082"/>
      <c r="N33" s="1082"/>
      <c r="P33" s="120"/>
      <c r="Q33" s="226"/>
      <c r="R33" s="226"/>
      <c r="S33" s="6"/>
      <c r="T33" s="369"/>
      <c r="U33" s="100"/>
      <c r="V33" s="548" t="s">
        <v>754</v>
      </c>
      <c r="W33" s="576"/>
      <c r="X33" s="576"/>
      <c r="Y33" s="576"/>
      <c r="Z33" s="576"/>
      <c r="AA33" s="576"/>
      <c r="AB33" s="576"/>
      <c r="AC33" s="576"/>
      <c r="AD33" s="576"/>
      <c r="AE33" s="576"/>
      <c r="AF33" s="576"/>
      <c r="AH33" s="576"/>
      <c r="AI33" s="576"/>
      <c r="AJ33" s="576"/>
      <c r="AK33" s="576"/>
      <c r="AL33" s="576"/>
      <c r="AN33" s="167"/>
    </row>
    <row r="34" spans="1:40" ht="12.75" customHeight="1" x14ac:dyDescent="0.2">
      <c r="A34" s="107">
        <f t="shared" si="2"/>
        <v>31</v>
      </c>
      <c r="B34" s="167"/>
      <c r="C34" s="483" t="s">
        <v>748</v>
      </c>
      <c r="J34" s="128"/>
      <c r="K34" s="128"/>
      <c r="L34" s="173"/>
      <c r="M34" s="555"/>
      <c r="N34" s="555"/>
      <c r="O34" s="555"/>
      <c r="P34" s="555"/>
      <c r="Q34" s="1077"/>
      <c r="R34" s="1077"/>
      <c r="S34" s="808" t="str">
        <f ca="1">Units!B32</f>
        <v>°F</v>
      </c>
      <c r="T34" s="712" t="e">
        <f>Units!#REF!</f>
        <v>#REF!</v>
      </c>
      <c r="U34" s="100"/>
      <c r="V34" s="805"/>
      <c r="W34" s="161"/>
      <c r="X34" s="161"/>
      <c r="Y34" s="161"/>
      <c r="Z34" s="161"/>
      <c r="AA34" s="161"/>
      <c r="AB34" s="161"/>
      <c r="AC34" s="161"/>
      <c r="AD34" s="161"/>
      <c r="AE34" s="161"/>
      <c r="AF34" s="161"/>
      <c r="AH34" s="161"/>
      <c r="AI34" s="161"/>
      <c r="AJ34" s="161"/>
      <c r="AK34" s="1092"/>
      <c r="AL34" s="1092"/>
      <c r="AN34" s="167"/>
    </row>
    <row r="35" spans="1:40" x14ac:dyDescent="0.2">
      <c r="A35" s="107">
        <f t="shared" si="2"/>
        <v>32</v>
      </c>
      <c r="B35" s="167"/>
      <c r="C35" s="226" t="s">
        <v>878</v>
      </c>
      <c r="J35" s="128"/>
      <c r="K35" s="128"/>
      <c r="L35" s="6"/>
      <c r="M35" s="555"/>
      <c r="N35" s="555"/>
      <c r="O35" s="555"/>
      <c r="P35" s="555"/>
      <c r="Q35" s="1107"/>
      <c r="R35" s="1107"/>
      <c r="T35" s="369"/>
      <c r="U35" s="100"/>
      <c r="V35" s="483" t="s">
        <v>753</v>
      </c>
      <c r="W35" s="161"/>
      <c r="X35" s="161"/>
      <c r="Y35" s="161"/>
      <c r="Z35" s="161"/>
      <c r="AA35" s="161"/>
      <c r="AB35" s="161"/>
      <c r="AC35" s="161"/>
      <c r="AD35" s="161"/>
      <c r="AE35" s="161"/>
      <c r="AF35" s="161"/>
      <c r="AH35" s="1140"/>
      <c r="AI35" s="1140"/>
      <c r="AJ35" s="1140"/>
      <c r="AK35" s="1140"/>
      <c r="AL35" s="1140"/>
      <c r="AN35" s="170"/>
    </row>
    <row r="36" spans="1:40" x14ac:dyDescent="0.2">
      <c r="A36" s="107">
        <f t="shared" si="2"/>
        <v>33</v>
      </c>
      <c r="B36" s="167"/>
      <c r="C36" s="226" t="s">
        <v>744</v>
      </c>
      <c r="I36" s="128"/>
      <c r="J36" s="128"/>
      <c r="K36" s="128"/>
      <c r="L36" s="128"/>
      <c r="M36" s="555"/>
      <c r="N36" s="555"/>
      <c r="O36" s="555"/>
      <c r="P36" s="1079"/>
      <c r="Q36" s="1079"/>
      <c r="R36" s="1079"/>
      <c r="T36" s="369"/>
      <c r="U36" s="100"/>
      <c r="V36" s="483" t="s">
        <v>756</v>
      </c>
      <c r="W36" s="161"/>
      <c r="X36" s="161"/>
      <c r="Y36" s="161"/>
      <c r="Z36" s="161"/>
      <c r="AA36" s="161"/>
      <c r="AB36" s="161"/>
      <c r="AC36" s="161"/>
      <c r="AD36" s="161"/>
      <c r="AE36" s="161"/>
      <c r="AF36" s="161"/>
      <c r="AH36" s="161"/>
      <c r="AI36" s="1153"/>
      <c r="AJ36" s="1153"/>
      <c r="AK36" s="1153"/>
      <c r="AL36" s="1153"/>
      <c r="AN36" s="167"/>
    </row>
    <row r="37" spans="1:40" x14ac:dyDescent="0.2">
      <c r="A37" s="107">
        <f t="shared" si="2"/>
        <v>34</v>
      </c>
      <c r="B37" s="167"/>
      <c r="C37" s="6" t="s">
        <v>118</v>
      </c>
      <c r="D37" s="6"/>
      <c r="E37" s="6"/>
      <c r="F37" s="385"/>
      <c r="G37" s="128"/>
      <c r="H37" s="128"/>
      <c r="I37" s="128"/>
      <c r="J37" s="128"/>
      <c r="K37" s="128"/>
      <c r="L37" s="173"/>
      <c r="M37" s="1077"/>
      <c r="N37" s="1077"/>
      <c r="O37" s="1077"/>
      <c r="P37" s="1077"/>
      <c r="Q37" s="1077"/>
      <c r="R37" s="1077"/>
      <c r="T37" s="369"/>
      <c r="U37" s="100"/>
      <c r="V37" s="483" t="s">
        <v>603</v>
      </c>
      <c r="W37" s="161"/>
      <c r="X37" s="161"/>
      <c r="Y37" s="161"/>
      <c r="Z37" s="161"/>
      <c r="AA37" s="161"/>
      <c r="AB37" s="161"/>
      <c r="AC37" s="161"/>
      <c r="AD37" s="161"/>
      <c r="AE37" s="161"/>
      <c r="AF37" s="161"/>
      <c r="AH37" s="161"/>
      <c r="AI37" s="161"/>
      <c r="AJ37" s="161"/>
      <c r="AK37" s="1116"/>
      <c r="AL37" s="1116"/>
      <c r="AN37" s="167"/>
    </row>
    <row r="38" spans="1:40" x14ac:dyDescent="0.2">
      <c r="A38" s="107">
        <f t="shared" si="2"/>
        <v>35</v>
      </c>
      <c r="B38" s="167"/>
      <c r="C38" s="374" t="str">
        <f>IF(LEFT(I5,2)="VS","BOWL :","CASE :")</f>
        <v>CASE :</v>
      </c>
      <c r="D38" s="6"/>
      <c r="E38" s="6"/>
      <c r="F38" s="385"/>
      <c r="G38" s="128"/>
      <c r="H38" s="128"/>
      <c r="I38" s="128"/>
      <c r="J38" s="385"/>
      <c r="K38" s="128"/>
      <c r="L38" s="128"/>
      <c r="M38" s="1077"/>
      <c r="N38" s="1077"/>
      <c r="O38" s="1077"/>
      <c r="P38" s="1077"/>
      <c r="Q38" s="1077"/>
      <c r="R38" s="1077"/>
      <c r="T38" s="369"/>
      <c r="U38" s="101"/>
      <c r="AN38" s="167"/>
    </row>
    <row r="39" spans="1:40" x14ac:dyDescent="0.2">
      <c r="A39" s="107">
        <f t="shared" si="2"/>
        <v>36</v>
      </c>
      <c r="B39" s="167"/>
      <c r="C39" s="558" t="s">
        <v>580</v>
      </c>
      <c r="D39" s="6"/>
      <c r="E39" s="6"/>
      <c r="F39" s="6"/>
      <c r="G39" s="6"/>
      <c r="H39" s="385"/>
      <c r="I39" s="128"/>
      <c r="J39" s="128"/>
      <c r="K39" s="128"/>
      <c r="L39" s="128"/>
      <c r="M39" s="1077"/>
      <c r="N39" s="1077"/>
      <c r="O39" s="1077"/>
      <c r="P39" s="1077"/>
      <c r="Q39" s="1077"/>
      <c r="R39" s="1077"/>
      <c r="T39" s="369"/>
      <c r="U39" s="1086" t="s">
        <v>156</v>
      </c>
      <c r="V39" s="1095"/>
      <c r="W39" s="1095"/>
      <c r="X39" s="1095"/>
      <c r="Y39" s="1095"/>
      <c r="Z39" s="1095"/>
      <c r="AA39" s="1095"/>
      <c r="AB39" s="1095"/>
      <c r="AC39" s="1095"/>
      <c r="AD39" s="1095"/>
      <c r="AE39" s="1095"/>
      <c r="AF39" s="1095"/>
      <c r="AG39" s="1095"/>
      <c r="AH39" s="1095"/>
      <c r="AI39" s="1095"/>
      <c r="AJ39" s="1095"/>
      <c r="AK39" s="1095"/>
      <c r="AL39" s="1095"/>
      <c r="AM39" s="1087"/>
      <c r="AN39" s="167"/>
    </row>
    <row r="40" spans="1:40" x14ac:dyDescent="0.2">
      <c r="A40" s="107">
        <f>A39+1</f>
        <v>37</v>
      </c>
      <c r="B40" s="167"/>
      <c r="C40" s="6" t="s">
        <v>119</v>
      </c>
      <c r="D40" s="6"/>
      <c r="E40" s="173"/>
      <c r="F40" s="385"/>
      <c r="G40" s="128"/>
      <c r="H40" s="128"/>
      <c r="I40" s="120"/>
      <c r="J40" s="128"/>
      <c r="K40" s="6"/>
      <c r="L40" s="120"/>
      <c r="M40" s="1077"/>
      <c r="N40" s="1077"/>
      <c r="O40" s="1077"/>
      <c r="P40" s="1077"/>
      <c r="Q40" s="1077"/>
      <c r="R40" s="1077"/>
      <c r="T40" s="369"/>
      <c r="U40" s="809"/>
      <c r="V40" s="6" t="s">
        <v>157</v>
      </c>
      <c r="W40" s="6"/>
      <c r="X40" s="6"/>
      <c r="Y40" s="6"/>
      <c r="Z40" s="6"/>
      <c r="AA40" s="6"/>
      <c r="AB40" s="6"/>
      <c r="AC40" s="226"/>
      <c r="AD40" s="226"/>
      <c r="AF40" s="1099"/>
      <c r="AG40" s="1099"/>
      <c r="AH40" s="1099"/>
      <c r="AI40" s="1099"/>
      <c r="AJ40" s="1099"/>
      <c r="AK40" s="1099"/>
      <c r="AL40" s="1099"/>
      <c r="AM40" s="1099"/>
      <c r="AN40" s="198"/>
    </row>
    <row r="41" spans="1:40" x14ac:dyDescent="0.2">
      <c r="A41" s="107">
        <f t="shared" ref="A41:A54" si="3">A40+1</f>
        <v>38</v>
      </c>
      <c r="B41" s="167"/>
      <c r="C41" s="6" t="s">
        <v>120</v>
      </c>
      <c r="D41" s="6"/>
      <c r="E41" s="6"/>
      <c r="F41" s="120"/>
      <c r="G41" s="120"/>
      <c r="H41" s="120"/>
      <c r="I41" s="128"/>
      <c r="J41" s="128"/>
      <c r="K41" s="128"/>
      <c r="L41" s="128"/>
      <c r="M41" s="1077"/>
      <c r="N41" s="1077"/>
      <c r="O41" s="1077"/>
      <c r="P41" s="1077"/>
      <c r="Q41" s="1077"/>
      <c r="R41" s="1077"/>
      <c r="T41" s="369"/>
      <c r="U41" s="229"/>
      <c r="V41" s="594" t="s">
        <v>762</v>
      </c>
      <c r="W41" s="36"/>
      <c r="X41" s="226"/>
      <c r="Y41" s="226"/>
      <c r="Z41" s="226"/>
      <c r="AA41" s="226"/>
      <c r="AB41" s="226"/>
      <c r="AC41" s="226"/>
      <c r="AD41" s="226"/>
      <c r="AF41" s="1098"/>
      <c r="AG41" s="1098"/>
      <c r="AH41" s="1098"/>
      <c r="AI41" s="1098"/>
      <c r="AJ41" s="1098"/>
      <c r="AK41" s="1098"/>
      <c r="AL41" s="1098"/>
      <c r="AM41" s="1098"/>
      <c r="AN41" s="167"/>
    </row>
    <row r="42" spans="1:40" x14ac:dyDescent="0.2">
      <c r="A42" s="107">
        <f t="shared" si="3"/>
        <v>39</v>
      </c>
      <c r="B42" s="167"/>
      <c r="C42" s="6" t="s">
        <v>121</v>
      </c>
      <c r="D42" s="6"/>
      <c r="E42" s="6"/>
      <c r="F42" s="21"/>
      <c r="G42" s="21"/>
      <c r="H42" s="385"/>
      <c r="I42" s="128"/>
      <c r="J42" s="128"/>
      <c r="K42" s="128"/>
      <c r="L42" s="128"/>
      <c r="M42" s="1077"/>
      <c r="N42" s="1077"/>
      <c r="O42" s="1077"/>
      <c r="P42" s="1077"/>
      <c r="Q42" s="1077"/>
      <c r="R42" s="1077"/>
      <c r="T42" s="369"/>
      <c r="U42" s="229"/>
      <c r="V42" s="594" t="s">
        <v>759</v>
      </c>
      <c r="AF42" s="1098"/>
      <c r="AG42" s="1098"/>
      <c r="AH42" s="1098"/>
      <c r="AI42" s="1098"/>
      <c r="AJ42" s="1098"/>
      <c r="AK42" s="1098"/>
      <c r="AL42" s="1098"/>
      <c r="AM42" s="1098"/>
      <c r="AN42" s="167"/>
    </row>
    <row r="43" spans="1:40" x14ac:dyDescent="0.2">
      <c r="A43" s="107">
        <f t="shared" si="3"/>
        <v>40</v>
      </c>
      <c r="B43" s="167"/>
      <c r="C43" s="6" t="s">
        <v>66</v>
      </c>
      <c r="D43" s="6"/>
      <c r="E43" s="385"/>
      <c r="F43" s="128"/>
      <c r="G43" s="128"/>
      <c r="H43" s="128"/>
      <c r="I43" s="385"/>
      <c r="J43" s="128"/>
      <c r="K43" s="128"/>
      <c r="L43" s="128"/>
      <c r="M43" s="1077"/>
      <c r="N43" s="1077"/>
      <c r="O43" s="1077"/>
      <c r="P43" s="1077"/>
      <c r="Q43" s="1077"/>
      <c r="R43" s="1077"/>
      <c r="T43" s="369"/>
      <c r="U43" s="810"/>
      <c r="V43" s="36" t="s">
        <v>162</v>
      </c>
      <c r="W43" s="36"/>
      <c r="X43" s="36"/>
      <c r="Y43" s="36"/>
      <c r="Z43" s="226"/>
      <c r="AA43" s="226"/>
      <c r="AB43" s="226"/>
      <c r="AC43" s="226"/>
      <c r="AD43" s="226"/>
      <c r="AF43" s="1083"/>
      <c r="AG43" s="1083"/>
      <c r="AH43" s="1083"/>
      <c r="AI43" s="1083"/>
      <c r="AJ43" s="1083"/>
      <c r="AK43" s="1083"/>
      <c r="AL43" s="1083"/>
      <c r="AM43" s="1083"/>
      <c r="AN43" s="167"/>
    </row>
    <row r="44" spans="1:40" x14ac:dyDescent="0.2">
      <c r="A44" s="107">
        <f t="shared" si="3"/>
        <v>41</v>
      </c>
      <c r="B44" s="167"/>
      <c r="C44" s="226" t="s">
        <v>710</v>
      </c>
      <c r="M44" s="1077"/>
      <c r="N44" s="1077"/>
      <c r="O44" s="1077"/>
      <c r="P44" s="1077"/>
      <c r="Q44" s="1077"/>
      <c r="R44" s="1077"/>
      <c r="T44" s="807"/>
      <c r="U44" s="811"/>
      <c r="V44" s="468" t="s">
        <v>879</v>
      </c>
      <c r="W44" s="226"/>
      <c r="X44" s="6"/>
      <c r="Y44" s="6"/>
      <c r="Z44" s="6"/>
      <c r="AA44" s="6"/>
      <c r="AB44" s="6"/>
      <c r="AC44" s="6"/>
      <c r="AD44" s="226"/>
      <c r="AF44" s="1075"/>
      <c r="AG44" s="1075"/>
      <c r="AH44" s="1075"/>
      <c r="AI44" s="1075"/>
      <c r="AJ44" s="1075"/>
      <c r="AK44" s="1075"/>
      <c r="AL44" s="1075"/>
      <c r="AM44" s="1075"/>
      <c r="AN44" s="167"/>
    </row>
    <row r="45" spans="1:40" x14ac:dyDescent="0.2">
      <c r="A45" s="107">
        <f t="shared" si="3"/>
        <v>42</v>
      </c>
      <c r="B45" s="167"/>
      <c r="C45" s="241" t="s">
        <v>581</v>
      </c>
      <c r="D45" s="241"/>
      <c r="E45" s="241"/>
      <c r="F45" s="241"/>
      <c r="G45" s="241"/>
      <c r="H45" s="241"/>
      <c r="I45" s="385"/>
      <c r="J45" s="128"/>
      <c r="K45" s="128"/>
      <c r="L45" s="128"/>
      <c r="M45" s="1081"/>
      <c r="N45" s="1081"/>
      <c r="O45" s="1081"/>
      <c r="P45" s="1081"/>
      <c r="Q45" s="1081"/>
      <c r="R45" s="1081"/>
      <c r="T45" s="807"/>
      <c r="U45" s="811"/>
      <c r="V45" s="6" t="s">
        <v>158</v>
      </c>
      <c r="W45" s="226"/>
      <c r="X45" s="6"/>
      <c r="Y45" s="173"/>
      <c r="Z45" s="173"/>
      <c r="AA45" s="120"/>
      <c r="AB45" s="120"/>
      <c r="AC45" s="120"/>
      <c r="AD45" s="226"/>
      <c r="AF45" s="1103"/>
      <c r="AG45" s="1103"/>
      <c r="AH45" s="1103"/>
      <c r="AI45" s="1103"/>
      <c r="AJ45" s="1103"/>
      <c r="AK45" s="1103"/>
      <c r="AL45" s="1103"/>
      <c r="AM45" s="1103"/>
      <c r="AN45" s="167"/>
    </row>
    <row r="46" spans="1:40" ht="3" customHeight="1" x14ac:dyDescent="0.2">
      <c r="A46" s="107"/>
      <c r="B46" s="167"/>
      <c r="C46" s="384"/>
      <c r="D46" s="123"/>
      <c r="E46" s="232"/>
      <c r="F46" s="232"/>
      <c r="G46" s="232"/>
      <c r="H46" s="232"/>
      <c r="I46" s="385"/>
      <c r="J46" s="128"/>
      <c r="K46" s="128"/>
      <c r="L46" s="128"/>
      <c r="M46" s="128"/>
      <c r="N46" s="226"/>
      <c r="O46" s="1078"/>
      <c r="P46" s="1078"/>
      <c r="Q46" s="1078"/>
      <c r="R46" s="1078"/>
      <c r="S46" s="1078"/>
      <c r="T46" s="1078"/>
      <c r="U46" s="384"/>
      <c r="AI46" s="545"/>
      <c r="AJ46" s="545"/>
      <c r="AK46" s="545"/>
      <c r="AL46" s="545"/>
      <c r="AM46" s="545"/>
      <c r="AN46" s="168"/>
    </row>
    <row r="47" spans="1:40" x14ac:dyDescent="0.2">
      <c r="A47" s="566">
        <f>A45+1</f>
        <v>43</v>
      </c>
      <c r="B47" s="167"/>
      <c r="C47" s="1104" t="s">
        <v>735</v>
      </c>
      <c r="D47" s="1105"/>
      <c r="E47" s="1105"/>
      <c r="F47" s="1105"/>
      <c r="G47" s="1105"/>
      <c r="H47" s="1105"/>
      <c r="I47" s="1105"/>
      <c r="J47" s="1105"/>
      <c r="K47" s="1105"/>
      <c r="L47" s="1105"/>
      <c r="M47" s="1105"/>
      <c r="N47" s="1105"/>
      <c r="O47" s="1105"/>
      <c r="P47" s="1105"/>
      <c r="Q47" s="1105"/>
      <c r="R47" s="1105"/>
      <c r="S47" s="1105"/>
      <c r="T47" s="1106"/>
      <c r="U47" s="384"/>
      <c r="V47" s="629" t="s">
        <v>159</v>
      </c>
      <c r="W47" s="226"/>
      <c r="X47" s="173"/>
      <c r="Y47" s="173"/>
      <c r="Z47" s="173"/>
      <c r="AA47" s="173"/>
      <c r="AB47" s="173"/>
      <c r="AC47" s="173"/>
      <c r="AD47" s="173"/>
      <c r="AF47" s="397"/>
      <c r="AG47" s="397"/>
      <c r="AH47" s="397"/>
      <c r="AI47" s="1058"/>
      <c r="AJ47" s="1059"/>
      <c r="AK47" s="1059"/>
      <c r="AL47" s="1059"/>
      <c r="AM47" s="1059"/>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6"/>
      <c r="AM48" s="1076"/>
      <c r="AN48" s="168"/>
    </row>
    <row r="49" spans="1:40" ht="12.75" customHeight="1" x14ac:dyDescent="0.2">
      <c r="A49" s="140">
        <f t="shared" si="3"/>
        <v>45</v>
      </c>
      <c r="B49" s="167"/>
      <c r="C49" s="26"/>
      <c r="D49" s="6" t="s">
        <v>59</v>
      </c>
      <c r="E49" s="6"/>
      <c r="F49" s="6"/>
      <c r="G49" s="1110"/>
      <c r="H49" s="1063"/>
      <c r="I49" s="1063"/>
      <c r="J49" s="1063"/>
      <c r="K49" s="173"/>
      <c r="L49" s="394" t="s">
        <v>47</v>
      </c>
      <c r="M49" s="395"/>
      <c r="N49" s="1077"/>
      <c r="O49" s="1077"/>
      <c r="P49" s="1077"/>
      <c r="Q49" s="1077"/>
      <c r="R49" s="1077"/>
      <c r="U49" s="389"/>
      <c r="V49" s="36"/>
      <c r="W49" s="36"/>
      <c r="X49" s="36"/>
      <c r="Y49" s="36"/>
      <c r="Z49" s="36"/>
      <c r="AA49" s="243" t="s">
        <v>166</v>
      </c>
      <c r="AB49" s="36" t="s">
        <v>165</v>
      </c>
      <c r="AC49" s="36"/>
      <c r="AD49" s="36"/>
      <c r="AF49" s="36"/>
      <c r="AG49" s="36"/>
      <c r="AH49" s="36"/>
      <c r="AI49" s="36"/>
      <c r="AJ49" s="36"/>
      <c r="AK49" s="36"/>
      <c r="AL49" s="1076"/>
      <c r="AM49" s="1076"/>
      <c r="AN49" s="171"/>
    </row>
    <row r="50" spans="1:40" x14ac:dyDescent="0.2">
      <c r="A50" s="140">
        <f t="shared" si="3"/>
        <v>46</v>
      </c>
      <c r="B50" s="617"/>
      <c r="C50" s="26"/>
      <c r="D50" s="6" t="s">
        <v>62</v>
      </c>
      <c r="E50" s="6"/>
      <c r="F50" s="6"/>
      <c r="G50" s="1103"/>
      <c r="H50" s="1109"/>
      <c r="I50" s="1109"/>
      <c r="J50" s="1109"/>
      <c r="K50" s="120"/>
      <c r="L50" s="376" t="s">
        <v>47</v>
      </c>
      <c r="M50" s="395"/>
      <c r="N50" s="1111"/>
      <c r="O50" s="1111"/>
      <c r="P50" s="1111"/>
      <c r="Q50" s="1111"/>
      <c r="R50" s="1111"/>
      <c r="T50" s="103"/>
      <c r="U50" s="389"/>
      <c r="V50" s="594" t="s">
        <v>760</v>
      </c>
      <c r="W50" s="36"/>
      <c r="X50" s="36"/>
      <c r="Y50" s="36"/>
      <c r="Z50" s="36"/>
      <c r="AL50" s="1075"/>
      <c r="AM50" s="1075"/>
      <c r="AN50" s="617"/>
    </row>
    <row r="51" spans="1:40" ht="12.75" customHeight="1" x14ac:dyDescent="0.2">
      <c r="A51" s="140">
        <f t="shared" si="3"/>
        <v>47</v>
      </c>
      <c r="B51" s="617"/>
      <c r="C51" s="21" t="s">
        <v>804</v>
      </c>
      <c r="D51" s="226"/>
      <c r="E51" s="21"/>
      <c r="F51" s="21"/>
      <c r="G51" s="21"/>
      <c r="H51" s="21"/>
      <c r="I51" s="21"/>
      <c r="J51" s="21"/>
      <c r="K51" s="21"/>
      <c r="L51" s="21"/>
      <c r="M51" s="21"/>
      <c r="N51" s="21"/>
      <c r="O51" s="151"/>
      <c r="P51" s="812"/>
      <c r="Q51" s="812"/>
      <c r="T51" s="813"/>
      <c r="U51" s="100"/>
      <c r="V51" s="594" t="s">
        <v>761</v>
      </c>
      <c r="AL51" s="1075"/>
      <c r="AM51" s="1075"/>
      <c r="AN51" s="617"/>
    </row>
    <row r="52" spans="1:40" x14ac:dyDescent="0.2">
      <c r="A52" s="140">
        <f t="shared" si="3"/>
        <v>48</v>
      </c>
      <c r="B52" s="617"/>
      <c r="R52" s="1092"/>
      <c r="S52" s="1092"/>
      <c r="U52" s="100"/>
      <c r="V52" s="594" t="s">
        <v>630</v>
      </c>
      <c r="AL52" s="1076"/>
      <c r="AM52" s="1076"/>
      <c r="AN52" s="617"/>
    </row>
    <row r="53" spans="1:40" ht="12.75" customHeight="1" x14ac:dyDescent="0.2">
      <c r="A53" s="140">
        <f t="shared" si="3"/>
        <v>49</v>
      </c>
      <c r="B53" s="617"/>
      <c r="C53" s="21" t="s">
        <v>167</v>
      </c>
      <c r="D53" s="6"/>
      <c r="E53" s="21"/>
      <c r="F53" s="21"/>
      <c r="H53" s="226" t="s">
        <v>805</v>
      </c>
      <c r="I53" s="226"/>
      <c r="J53" s="226"/>
      <c r="K53" s="226"/>
      <c r="L53" s="226"/>
      <c r="M53" s="21"/>
      <c r="N53" s="371"/>
      <c r="O53" s="1107"/>
      <c r="P53" s="1107"/>
      <c r="Q53" s="1107"/>
      <c r="R53" s="1107"/>
      <c r="S53" s="1107"/>
      <c r="U53" s="242"/>
      <c r="V53" s="483" t="s">
        <v>209</v>
      </c>
      <c r="W53" s="226"/>
      <c r="X53" s="226"/>
      <c r="Y53" s="226"/>
      <c r="Z53" s="226"/>
      <c r="AA53" s="226"/>
      <c r="AB53" s="226"/>
      <c r="AC53" s="226"/>
      <c r="AD53" s="226"/>
      <c r="AE53" s="226"/>
      <c r="AF53" s="226"/>
      <c r="AG53" s="226"/>
      <c r="AH53" s="226"/>
      <c r="AI53" s="226"/>
      <c r="AJ53" s="226"/>
      <c r="AK53" s="226"/>
      <c r="AL53" s="226"/>
      <c r="AM53" s="226"/>
      <c r="AN53" s="644"/>
    </row>
    <row r="54" spans="1:40" ht="12.75" customHeight="1" x14ac:dyDescent="0.2">
      <c r="A54" s="140">
        <f t="shared" si="3"/>
        <v>50</v>
      </c>
      <c r="B54" s="617"/>
      <c r="C54" s="227"/>
      <c r="D54" s="469" t="s">
        <v>701</v>
      </c>
      <c r="E54" s="6"/>
      <c r="F54" s="6"/>
      <c r="G54" s="6"/>
      <c r="H54" s="227"/>
      <c r="I54" s="20"/>
      <c r="J54" s="35"/>
      <c r="K54" s="226"/>
      <c r="L54" s="226"/>
      <c r="M54" s="226"/>
      <c r="N54" s="385"/>
      <c r="O54" s="851"/>
      <c r="P54" s="847" t="s">
        <v>806</v>
      </c>
      <c r="Q54" s="455"/>
      <c r="R54" s="1092"/>
      <c r="S54" s="1092"/>
      <c r="U54" s="574"/>
      <c r="V54" s="1108"/>
      <c r="W54" s="1108"/>
      <c r="X54" s="1108"/>
      <c r="Y54" s="1108"/>
      <c r="Z54" s="1108"/>
      <c r="AA54" s="1108"/>
      <c r="AB54" s="1108"/>
      <c r="AC54" s="1108"/>
      <c r="AD54" s="1108"/>
      <c r="AE54" s="1108"/>
      <c r="AF54" s="1108"/>
      <c r="AG54" s="1108"/>
      <c r="AH54" s="1108"/>
      <c r="AI54" s="1108"/>
      <c r="AJ54" s="1108"/>
      <c r="AK54" s="1108"/>
      <c r="AL54" s="1108"/>
      <c r="AM54" s="226"/>
      <c r="AN54" s="646"/>
    </row>
    <row r="55" spans="1:40" ht="12.75" customHeight="1" x14ac:dyDescent="0.2">
      <c r="A55" s="140" t="s">
        <v>68</v>
      </c>
      <c r="B55" s="617"/>
      <c r="C55" s="227"/>
      <c r="E55" s="821"/>
      <c r="G55" s="821"/>
      <c r="H55" s="595" t="s">
        <v>702</v>
      </c>
      <c r="I55" s="821"/>
      <c r="J55" s="821"/>
      <c r="K55" s="821"/>
      <c r="L55" s="821"/>
      <c r="M55" s="821"/>
      <c r="N55" s="821"/>
      <c r="O55" s="821"/>
      <c r="P55" s="821"/>
      <c r="Q55" s="821"/>
      <c r="R55" s="1115"/>
      <c r="S55" s="1115"/>
      <c r="U55" s="598"/>
      <c r="V55" s="226"/>
      <c r="AC55" s="226"/>
      <c r="AD55" s="226"/>
      <c r="AE55" s="226"/>
      <c r="AF55" s="226"/>
      <c r="AG55" s="226"/>
      <c r="AH55" s="226"/>
      <c r="AI55" s="226"/>
      <c r="AJ55" s="226"/>
      <c r="AK55" s="226"/>
      <c r="AL55" s="226"/>
      <c r="AM55" s="226"/>
      <c r="AN55" s="617"/>
    </row>
    <row r="56" spans="1:40" ht="12.75" customHeight="1" x14ac:dyDescent="0.2">
      <c r="A56" s="140" t="s">
        <v>177</v>
      </c>
      <c r="B56" s="617"/>
      <c r="C56" s="227"/>
      <c r="D56" s="226" t="s">
        <v>681</v>
      </c>
      <c r="R56" s="1116"/>
      <c r="S56" s="1116"/>
      <c r="U56" s="598"/>
      <c r="V56" s="560" t="s">
        <v>712</v>
      </c>
      <c r="AC56" s="226"/>
      <c r="AD56" s="226"/>
      <c r="AE56" s="226"/>
      <c r="AF56" s="226"/>
      <c r="AG56" s="226"/>
      <c r="AH56" s="226"/>
      <c r="AI56" s="226"/>
      <c r="AJ56" s="226"/>
      <c r="AK56" s="226"/>
      <c r="AL56" s="226"/>
      <c r="AM56" s="226"/>
      <c r="AN56" s="617"/>
    </row>
    <row r="57" spans="1:40" ht="12.75" customHeight="1" x14ac:dyDescent="0.2">
      <c r="A57" s="140" t="s">
        <v>713</v>
      </c>
      <c r="B57" s="617"/>
      <c r="C57" s="227"/>
      <c r="D57" s="230" t="s">
        <v>582</v>
      </c>
      <c r="U57" s="598"/>
      <c r="V57" s="1108"/>
      <c r="W57" s="1108"/>
      <c r="X57" s="1108"/>
      <c r="Y57" s="1108"/>
      <c r="Z57" s="1108"/>
      <c r="AA57" s="1108"/>
      <c r="AB57" s="1108"/>
      <c r="AC57" s="1108"/>
      <c r="AD57" s="1108"/>
      <c r="AE57" s="1108"/>
      <c r="AF57" s="1108"/>
      <c r="AG57" s="1108"/>
      <c r="AH57" s="1108"/>
      <c r="AI57" s="1108"/>
      <c r="AJ57" s="1108"/>
      <c r="AK57" s="1108"/>
      <c r="AL57" s="1108"/>
      <c r="AM57" s="226"/>
      <c r="AN57" s="617"/>
    </row>
    <row r="58" spans="1:40" ht="12.75" customHeight="1" x14ac:dyDescent="0.2">
      <c r="A58" s="140" t="s">
        <v>714</v>
      </c>
      <c r="B58" s="617"/>
      <c r="D58" s="999"/>
      <c r="E58" s="999"/>
      <c r="F58" s="999"/>
      <c r="G58" s="999"/>
      <c r="H58" s="999"/>
      <c r="I58" s="999"/>
      <c r="J58" s="999"/>
      <c r="K58" s="999"/>
      <c r="L58" s="999"/>
      <c r="M58" s="999"/>
      <c r="N58" s="999"/>
      <c r="O58" s="999"/>
      <c r="P58" s="999"/>
      <c r="Q58" s="999"/>
      <c r="R58" s="999"/>
      <c r="S58" s="999"/>
      <c r="T58" s="999"/>
      <c r="U58" s="598"/>
      <c r="V58" s="1108"/>
      <c r="W58" s="1108"/>
      <c r="X58" s="1108"/>
      <c r="Y58" s="1108"/>
      <c r="Z58" s="1108"/>
      <c r="AA58" s="1108"/>
      <c r="AB58" s="1108"/>
      <c r="AC58" s="1108"/>
      <c r="AD58" s="1108"/>
      <c r="AE58" s="1108"/>
      <c r="AF58" s="1108"/>
      <c r="AG58" s="1108"/>
      <c r="AH58" s="1108"/>
      <c r="AI58" s="1108"/>
      <c r="AJ58" s="1108"/>
      <c r="AK58" s="1108"/>
      <c r="AL58" s="1108"/>
      <c r="AM58" s="226"/>
      <c r="AN58" s="617"/>
    </row>
    <row r="59" spans="1:40" ht="12.75" customHeight="1" x14ac:dyDescent="0.2">
      <c r="A59" s="140" t="s">
        <v>300</v>
      </c>
      <c r="B59" s="617"/>
      <c r="D59" s="815" t="s">
        <v>682</v>
      </c>
      <c r="E59" s="814"/>
      <c r="F59" s="814"/>
      <c r="G59" s="814"/>
      <c r="H59" s="814"/>
      <c r="I59" s="814"/>
      <c r="J59" s="814"/>
      <c r="K59" s="814"/>
      <c r="L59" s="814"/>
      <c r="M59" s="814"/>
      <c r="N59" s="814"/>
      <c r="O59" s="814"/>
      <c r="P59" s="1083"/>
      <c r="Q59" s="1083"/>
      <c r="R59" s="1083"/>
      <c r="S59" s="1083"/>
      <c r="T59" s="814"/>
      <c r="U59" s="598"/>
      <c r="V59" s="1108"/>
      <c r="W59" s="1108"/>
      <c r="X59" s="1108"/>
      <c r="Y59" s="1108"/>
      <c r="Z59" s="1108"/>
      <c r="AA59" s="1108"/>
      <c r="AB59" s="1108"/>
      <c r="AC59" s="1108"/>
      <c r="AD59" s="1108"/>
      <c r="AE59" s="1108"/>
      <c r="AF59" s="1108"/>
      <c r="AG59" s="1108"/>
      <c r="AH59" s="1108"/>
      <c r="AI59" s="1108"/>
      <c r="AJ59" s="1108"/>
      <c r="AK59" s="1108"/>
      <c r="AL59" s="1108"/>
      <c r="AM59" s="226"/>
      <c r="AN59" s="617"/>
    </row>
    <row r="60" spans="1:40" ht="12.75" customHeight="1" x14ac:dyDescent="0.2">
      <c r="A60" s="140" t="s">
        <v>715</v>
      </c>
      <c r="B60" s="617"/>
      <c r="D60" s="435"/>
      <c r="E60" s="226"/>
      <c r="F60" s="35"/>
      <c r="G60" s="6"/>
      <c r="H60" s="6"/>
      <c r="I60" s="6"/>
      <c r="J60" s="6"/>
      <c r="K60" s="6"/>
      <c r="L60" s="6"/>
      <c r="M60" s="6"/>
      <c r="N60" s="6"/>
      <c r="O60" s="146"/>
      <c r="P60" s="146"/>
      <c r="Q60" s="380"/>
      <c r="R60" s="1116"/>
      <c r="S60" s="1116"/>
      <c r="U60" s="598"/>
      <c r="V60" s="1108"/>
      <c r="W60" s="1108"/>
      <c r="X60" s="1108"/>
      <c r="Y60" s="1108"/>
      <c r="Z60" s="1108"/>
      <c r="AA60" s="1108"/>
      <c r="AB60" s="1108"/>
      <c r="AC60" s="1108"/>
      <c r="AD60" s="1108"/>
      <c r="AE60" s="1108"/>
      <c r="AF60" s="1108"/>
      <c r="AG60" s="1108"/>
      <c r="AH60" s="1108"/>
      <c r="AI60" s="1108"/>
      <c r="AJ60" s="1108"/>
      <c r="AK60" s="1108"/>
      <c r="AL60" s="1108"/>
      <c r="AM60" s="226"/>
      <c r="AN60" s="617"/>
    </row>
    <row r="61" spans="1:40" ht="12.75" customHeight="1" x14ac:dyDescent="0.2">
      <c r="A61" s="140" t="s">
        <v>716</v>
      </c>
      <c r="B61" s="617"/>
      <c r="D61" s="21" t="s">
        <v>67</v>
      </c>
      <c r="E61" s="6"/>
      <c r="F61" s="6"/>
      <c r="G61" s="6"/>
      <c r="H61" s="6"/>
      <c r="I61" s="227"/>
      <c r="J61" s="395"/>
      <c r="K61" s="231"/>
      <c r="L61" s="231"/>
      <c r="M61" s="231"/>
      <c r="N61" s="231"/>
      <c r="O61" s="151" t="s">
        <v>183</v>
      </c>
      <c r="Q61" s="380"/>
      <c r="R61" s="1100"/>
      <c r="S61" s="1100"/>
      <c r="U61" s="598"/>
      <c r="V61" s="1084"/>
      <c r="W61" s="1084"/>
      <c r="X61" s="1084"/>
      <c r="Y61" s="1084"/>
      <c r="Z61" s="1084"/>
      <c r="AA61" s="1084"/>
      <c r="AB61" s="1084"/>
      <c r="AC61" s="1084"/>
      <c r="AD61" s="1084"/>
      <c r="AE61" s="1084"/>
      <c r="AF61" s="1084"/>
      <c r="AG61" s="1084"/>
      <c r="AH61" s="1084"/>
      <c r="AI61" s="1084"/>
      <c r="AJ61" s="1084"/>
      <c r="AK61" s="1084"/>
      <c r="AL61" s="1084"/>
      <c r="AM61" s="226"/>
      <c r="AN61" s="617"/>
    </row>
    <row r="62" spans="1:40" ht="12.75" customHeight="1" x14ac:dyDescent="0.2">
      <c r="A62" s="140" t="s">
        <v>717</v>
      </c>
      <c r="B62" s="617"/>
      <c r="D62" s="6" t="s">
        <v>168</v>
      </c>
      <c r="E62" s="6"/>
      <c r="F62" s="21"/>
      <c r="G62" s="21"/>
      <c r="H62" s="227"/>
      <c r="I62" s="26"/>
      <c r="J62" s="21"/>
      <c r="K62" s="240"/>
      <c r="L62" s="240"/>
      <c r="M62" s="240"/>
      <c r="N62" s="240"/>
      <c r="O62" s="1054"/>
      <c r="P62" s="1054"/>
      <c r="Q62" s="1054"/>
      <c r="R62" s="1054"/>
      <c r="S62" s="1054"/>
      <c r="U62" s="599"/>
      <c r="V62" s="1084"/>
      <c r="W62" s="1084"/>
      <c r="X62" s="1084"/>
      <c r="Y62" s="1084"/>
      <c r="Z62" s="1084"/>
      <c r="AA62" s="1084"/>
      <c r="AB62" s="1084"/>
      <c r="AC62" s="1084"/>
      <c r="AD62" s="1084"/>
      <c r="AE62" s="1084"/>
      <c r="AF62" s="1084"/>
      <c r="AG62" s="1084"/>
      <c r="AH62" s="1084"/>
      <c r="AI62" s="1084"/>
      <c r="AJ62" s="1084"/>
      <c r="AK62" s="1084"/>
      <c r="AL62" s="1084"/>
      <c r="AM62" s="226"/>
      <c r="AN62" s="617"/>
    </row>
    <row r="63" spans="1:40" ht="4.9000000000000004" customHeight="1" x14ac:dyDescent="0.2">
      <c r="A63" s="17"/>
      <c r="B63" s="17"/>
      <c r="C63" s="577"/>
      <c r="D63" s="577"/>
      <c r="E63" s="577"/>
      <c r="F63" s="577"/>
      <c r="G63" s="577"/>
      <c r="H63" s="577"/>
      <c r="I63" s="577"/>
      <c r="J63" s="577"/>
      <c r="K63" s="577"/>
      <c r="L63" s="577"/>
      <c r="M63" s="577"/>
      <c r="N63" s="577"/>
      <c r="O63" s="577"/>
      <c r="P63" s="577"/>
      <c r="Q63" s="577"/>
      <c r="R63" s="577"/>
      <c r="S63" s="577"/>
      <c r="T63" s="577"/>
      <c r="U63" s="600"/>
      <c r="V63" s="577"/>
      <c r="W63" s="577"/>
      <c r="X63" s="577"/>
      <c r="Y63" s="577"/>
      <c r="Z63" s="577"/>
      <c r="AA63" s="577"/>
      <c r="AB63" s="577"/>
      <c r="AC63" s="577"/>
      <c r="AD63" s="577"/>
      <c r="AE63" s="577"/>
      <c r="AF63" s="577"/>
      <c r="AG63" s="577"/>
      <c r="AH63" s="577"/>
      <c r="AI63" s="577"/>
      <c r="AJ63" s="577"/>
      <c r="AK63" s="577"/>
      <c r="AL63" s="577"/>
      <c r="AM63" s="578"/>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50"/>
      <c r="J65" s="1150"/>
      <c r="K65" s="1150"/>
      <c r="L65" s="1150"/>
      <c r="M65" s="1150"/>
      <c r="N65" s="1150"/>
      <c r="O65" s="1150"/>
      <c r="P65" s="1150"/>
      <c r="Q65" s="1150"/>
      <c r="R65" s="1150"/>
      <c r="S65" s="1150"/>
      <c r="T65" s="1150"/>
      <c r="W65" s="104" t="s">
        <v>48</v>
      </c>
      <c r="X65" s="104"/>
      <c r="Y65" s="1114"/>
      <c r="Z65" s="1114"/>
      <c r="AE65" s="292" t="s">
        <v>271</v>
      </c>
      <c r="AF65" s="292"/>
      <c r="AG65" s="292"/>
      <c r="AH65" s="1113"/>
      <c r="AI65" s="1113"/>
      <c r="AJ65" s="292" t="s">
        <v>269</v>
      </c>
      <c r="AK65" s="1101" t="str">
        <f>IF(C_PageNo_Total=0,"",C_PageNo_Total)</f>
        <v/>
      </c>
      <c r="AL65" s="1101"/>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12"/>
      <c r="R80" s="1112"/>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2"/>
      <c r="M86" s="173"/>
      <c r="N86" s="392"/>
      <c r="O86" s="580"/>
      <c r="P86" s="596"/>
      <c r="Q86" s="1102"/>
      <c r="R86" s="1102"/>
      <c r="S86" s="374"/>
    </row>
    <row r="87" spans="3:19" x14ac:dyDescent="0.2">
      <c r="C87" s="26"/>
      <c r="D87" s="226"/>
      <c r="E87" s="21"/>
      <c r="F87" s="21"/>
      <c r="G87" s="6"/>
      <c r="H87" s="6"/>
      <c r="I87" s="6"/>
      <c r="J87" s="6"/>
      <c r="K87" s="6"/>
      <c r="L87" s="502"/>
      <c r="M87" s="173"/>
      <c r="N87" s="146"/>
      <c r="O87" s="580"/>
      <c r="P87" s="596"/>
      <c r="Q87" s="1102"/>
      <c r="R87" s="1102"/>
      <c r="S87" s="374"/>
    </row>
    <row r="88" spans="3:19" x14ac:dyDescent="0.2">
      <c r="C88" s="393"/>
      <c r="D88" s="226"/>
      <c r="E88" s="6"/>
      <c r="F88" s="6"/>
      <c r="G88" s="6"/>
      <c r="H88" s="6"/>
      <c r="I88" s="6"/>
      <c r="J88" s="6"/>
      <c r="K88" s="6"/>
      <c r="L88" s="502"/>
      <c r="M88" s="6"/>
      <c r="N88" s="146"/>
      <c r="O88" s="580"/>
      <c r="P88" s="596"/>
      <c r="Q88" s="1102"/>
      <c r="R88" s="1102"/>
      <c r="S88" s="374"/>
    </row>
    <row r="89" spans="3:19" x14ac:dyDescent="0.2">
      <c r="C89" s="393"/>
      <c r="D89" s="226"/>
      <c r="E89" s="6"/>
      <c r="F89" s="6"/>
      <c r="G89" s="6"/>
      <c r="H89" s="6"/>
      <c r="I89" s="6"/>
      <c r="J89" s="6"/>
      <c r="K89" s="6"/>
      <c r="L89" s="502"/>
      <c r="M89" s="6"/>
      <c r="N89" s="146"/>
      <c r="O89" s="580"/>
      <c r="P89" s="596"/>
      <c r="Q89" s="1102"/>
      <c r="R89" s="1102"/>
      <c r="S89" s="374"/>
    </row>
    <row r="90" spans="3:19" x14ac:dyDescent="0.2">
      <c r="C90" s="393"/>
      <c r="D90" s="226"/>
      <c r="E90" s="6"/>
      <c r="F90" s="6"/>
      <c r="G90" s="6"/>
      <c r="H90" s="6"/>
      <c r="I90" s="6"/>
      <c r="J90" s="6"/>
      <c r="K90" s="6"/>
      <c r="L90" s="502"/>
      <c r="M90" s="6"/>
      <c r="N90" s="146"/>
      <c r="O90" s="580"/>
      <c r="P90" s="596"/>
      <c r="Q90" s="1102"/>
      <c r="R90" s="1102"/>
      <c r="S90" s="374"/>
    </row>
    <row r="91" spans="3:19" x14ac:dyDescent="0.2">
      <c r="C91" s="35"/>
      <c r="D91" s="6"/>
      <c r="E91" s="6"/>
      <c r="F91" s="6"/>
      <c r="G91" s="6"/>
      <c r="H91" s="6"/>
      <c r="I91" s="6"/>
      <c r="J91" s="20"/>
      <c r="K91" s="502"/>
      <c r="L91" s="6"/>
      <c r="M91" s="6"/>
      <c r="N91" s="130"/>
      <c r="O91" s="597"/>
      <c r="P91" s="597"/>
      <c r="Q91" s="1112"/>
      <c r="R91" s="1112"/>
      <c r="S91" s="6"/>
    </row>
    <row r="92" spans="3:19" x14ac:dyDescent="0.2">
      <c r="C92" s="20"/>
      <c r="D92" s="6"/>
      <c r="E92" s="6"/>
      <c r="F92" s="226"/>
      <c r="G92" s="502"/>
      <c r="H92" s="502"/>
      <c r="I92" s="502"/>
      <c r="J92" s="502"/>
      <c r="K92" s="502"/>
      <c r="L92" s="502"/>
      <c r="M92" s="173"/>
      <c r="N92" s="1102"/>
      <c r="O92" s="1102"/>
      <c r="P92" s="1102"/>
      <c r="Q92" s="1102"/>
      <c r="R92" s="1102"/>
      <c r="S92" s="502"/>
    </row>
    <row r="93" spans="3:19" x14ac:dyDescent="0.2">
      <c r="C93" s="20"/>
      <c r="D93" s="6"/>
      <c r="E93" s="6"/>
      <c r="F93" s="395"/>
      <c r="G93" s="395"/>
      <c r="H93" s="395"/>
      <c r="I93" s="395"/>
      <c r="J93" s="395"/>
      <c r="K93" s="395"/>
      <c r="L93" s="395"/>
      <c r="M93" s="395"/>
      <c r="N93" s="1078"/>
      <c r="O93" s="1078"/>
      <c r="P93" s="1078"/>
      <c r="Q93" s="1078"/>
      <c r="R93" s="1078"/>
      <c r="S93" s="173"/>
    </row>
    <row r="94" spans="3:19" x14ac:dyDescent="0.2">
      <c r="C94" s="20"/>
      <c r="D94" s="6"/>
      <c r="E94" s="6"/>
      <c r="F94" s="6"/>
      <c r="G94" s="374"/>
      <c r="H94" s="6"/>
      <c r="I94" s="6"/>
      <c r="J94" s="173"/>
      <c r="K94" s="502"/>
      <c r="L94" s="502"/>
      <c r="M94" s="502"/>
      <c r="N94" s="1078"/>
      <c r="O94" s="1078"/>
      <c r="P94" s="1078"/>
      <c r="Q94" s="1078"/>
      <c r="R94" s="1078"/>
      <c r="S94" s="173"/>
    </row>
    <row r="95" spans="3:19" x14ac:dyDescent="0.2">
      <c r="C95" s="20"/>
      <c r="D95" s="6"/>
      <c r="E95" s="6"/>
      <c r="F95" s="6"/>
      <c r="G95" s="6"/>
      <c r="H95" s="173"/>
      <c r="I95" s="502"/>
      <c r="J95" s="502"/>
      <c r="K95" s="502"/>
      <c r="L95" s="502"/>
      <c r="M95" s="502"/>
      <c r="N95" s="1102"/>
      <c r="O95" s="1102"/>
      <c r="P95" s="1102"/>
      <c r="Q95" s="1102"/>
      <c r="R95" s="1102"/>
      <c r="S95" s="173"/>
    </row>
    <row r="96" spans="3:19" x14ac:dyDescent="0.2">
      <c r="C96" s="20"/>
      <c r="D96" s="6"/>
      <c r="E96" s="6"/>
      <c r="F96" s="6"/>
      <c r="G96" s="6"/>
      <c r="H96" s="6"/>
      <c r="I96" s="6"/>
      <c r="J96" s="502"/>
      <c r="K96" s="502"/>
      <c r="L96" s="502"/>
      <c r="M96" s="502"/>
      <c r="N96" s="1112"/>
      <c r="O96" s="1112"/>
      <c r="P96" s="1112"/>
      <c r="Q96" s="1112"/>
      <c r="R96" s="1112"/>
      <c r="S96" s="173"/>
    </row>
    <row r="97" spans="3:19" x14ac:dyDescent="0.2">
      <c r="C97" s="20"/>
      <c r="D97" s="6"/>
      <c r="E97" s="6"/>
      <c r="F97" s="21"/>
      <c r="G97" s="6"/>
      <c r="H97" s="6"/>
      <c r="I97" s="173"/>
      <c r="J97" s="502"/>
      <c r="K97" s="502"/>
      <c r="L97" s="502"/>
      <c r="M97" s="173"/>
      <c r="N97" s="1078"/>
      <c r="O97" s="1078"/>
      <c r="P97" s="1078"/>
      <c r="Q97" s="1078"/>
      <c r="R97" s="1078"/>
      <c r="S97" s="374"/>
    </row>
    <row r="98" spans="3:19" x14ac:dyDescent="0.2">
      <c r="C98" s="20"/>
      <c r="D98" s="6"/>
      <c r="E98" s="6"/>
      <c r="F98" s="21"/>
      <c r="G98" s="6"/>
      <c r="H98" s="6"/>
      <c r="I98" s="173"/>
      <c r="J98" s="502"/>
      <c r="K98" s="502"/>
      <c r="L98" s="502"/>
      <c r="M98" s="173"/>
      <c r="N98" s="1078"/>
      <c r="O98" s="1078"/>
      <c r="P98" s="1078"/>
      <c r="Q98" s="1078"/>
      <c r="R98" s="1078"/>
      <c r="S98" s="173"/>
    </row>
    <row r="99" spans="3:19" x14ac:dyDescent="0.2">
      <c r="C99" s="21"/>
      <c r="D99" s="6"/>
      <c r="E99" s="6"/>
      <c r="F99" s="6"/>
      <c r="G99" s="6"/>
      <c r="H99" s="6"/>
      <c r="I99" s="6"/>
      <c r="J99" s="6"/>
      <c r="K99" s="6"/>
      <c r="L99" s="6"/>
      <c r="M99" s="502"/>
      <c r="N99" s="1149"/>
      <c r="O99" s="1149"/>
      <c r="P99" s="1149"/>
      <c r="Q99" s="1149"/>
      <c r="R99" s="1149"/>
      <c r="S99" s="502"/>
    </row>
    <row r="100" spans="3:19" x14ac:dyDescent="0.2">
      <c r="G100" s="452"/>
      <c r="H100" s="452"/>
      <c r="I100" s="452"/>
      <c r="J100" s="452"/>
      <c r="K100" s="452"/>
      <c r="L100" s="452"/>
      <c r="M100" s="452"/>
      <c r="N100" s="452"/>
      <c r="O100" s="452"/>
      <c r="P100" s="452"/>
      <c r="Q100" s="452"/>
      <c r="R100" s="452"/>
      <c r="S100" s="452"/>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6">
        <v>1</v>
      </c>
      <c r="B4" s="165" t="s">
        <v>182</v>
      </c>
      <c r="C4" s="1139" t="s">
        <v>631</v>
      </c>
      <c r="D4" s="1160"/>
      <c r="E4" s="1160"/>
      <c r="F4" s="1160"/>
      <c r="G4" s="1160"/>
      <c r="H4" s="1160"/>
      <c r="I4" s="1160"/>
      <c r="J4" s="1160"/>
      <c r="K4" s="1160"/>
      <c r="L4" s="1160"/>
      <c r="M4" s="1160"/>
      <c r="N4" s="1160"/>
      <c r="O4" s="1160"/>
      <c r="P4" s="1160"/>
      <c r="Q4" s="1160"/>
      <c r="R4" s="1160"/>
      <c r="S4" s="1160"/>
      <c r="T4" s="1089"/>
      <c r="U4" s="1088" t="s">
        <v>660</v>
      </c>
      <c r="V4" s="1129"/>
      <c r="W4" s="1129"/>
      <c r="X4" s="1129"/>
      <c r="Y4" s="1129"/>
      <c r="Z4" s="1129"/>
      <c r="AA4" s="1129"/>
      <c r="AB4" s="1129"/>
      <c r="AC4" s="1129"/>
      <c r="AD4" s="1129"/>
      <c r="AE4" s="1129"/>
      <c r="AF4" s="1129"/>
      <c r="AG4" s="1129"/>
      <c r="AH4" s="1129"/>
      <c r="AI4" s="1129"/>
      <c r="AJ4" s="1129"/>
      <c r="AK4" s="1129"/>
      <c r="AL4" s="1129"/>
      <c r="AM4" s="1130"/>
      <c r="AN4" s="187" t="s">
        <v>7</v>
      </c>
      <c r="AP4" s="465"/>
      <c r="AQ4" s="458"/>
    </row>
    <row r="5" spans="1:46" x14ac:dyDescent="0.2">
      <c r="A5" s="140">
        <f t="shared" ref="A5:A20" si="0">A4+1</f>
        <v>2</v>
      </c>
      <c r="B5" s="107"/>
      <c r="C5" s="594" t="s">
        <v>632</v>
      </c>
      <c r="D5" s="594"/>
      <c r="E5" s="674"/>
      <c r="F5" s="674"/>
      <c r="G5" s="674"/>
      <c r="H5" s="674"/>
      <c r="I5" s="674"/>
      <c r="J5" s="674"/>
      <c r="K5" s="674"/>
      <c r="L5" s="674"/>
      <c r="M5" s="674"/>
      <c r="N5" s="674"/>
      <c r="O5" s="674"/>
      <c r="P5" s="674"/>
      <c r="Q5" s="6"/>
      <c r="R5" s="1116"/>
      <c r="S5" s="1116"/>
      <c r="T5" s="417"/>
      <c r="U5" s="675"/>
      <c r="V5" s="227" t="s">
        <v>841</v>
      </c>
      <c r="W5" s="36"/>
      <c r="X5" s="5"/>
      <c r="Y5" s="5"/>
      <c r="Z5" s="5"/>
      <c r="AA5" s="5"/>
      <c r="AB5" s="5"/>
      <c r="AC5" s="5"/>
      <c r="AD5" s="5"/>
      <c r="AE5" s="5"/>
      <c r="AF5" s="36"/>
      <c r="AG5" s="145"/>
      <c r="AH5" s="454"/>
      <c r="AI5" s="455"/>
      <c r="AL5" s="510"/>
      <c r="AM5" s="15"/>
      <c r="AN5" s="188"/>
      <c r="AP5" s="488"/>
      <c r="AQ5" s="449"/>
      <c r="AR5" s="133"/>
    </row>
    <row r="6" spans="1:46" x14ac:dyDescent="0.2">
      <c r="A6" s="140">
        <f t="shared" si="0"/>
        <v>3</v>
      </c>
      <c r="B6" s="167"/>
      <c r="C6" s="594" t="s">
        <v>764</v>
      </c>
      <c r="D6" s="594"/>
      <c r="E6" s="674"/>
      <c r="F6" s="674"/>
      <c r="G6" s="674"/>
      <c r="H6" s="674"/>
      <c r="I6" s="674"/>
      <c r="J6" s="674"/>
      <c r="K6" s="674"/>
      <c r="L6" s="674"/>
      <c r="M6" s="674"/>
      <c r="N6" s="674"/>
      <c r="O6" s="674"/>
      <c r="P6" s="674"/>
      <c r="Q6" s="6"/>
      <c r="R6" s="6"/>
      <c r="S6" s="6"/>
      <c r="T6" s="31"/>
      <c r="AF6" s="840" t="s">
        <v>842</v>
      </c>
      <c r="AJ6" s="1092"/>
      <c r="AK6" s="1092"/>
      <c r="AN6" s="189"/>
      <c r="AP6" s="594"/>
      <c r="AQ6" s="449"/>
      <c r="AR6" s="434"/>
    </row>
    <row r="7" spans="1:46" x14ac:dyDescent="0.2">
      <c r="A7" s="140">
        <f t="shared" si="0"/>
        <v>4</v>
      </c>
      <c r="B7" s="167"/>
      <c r="C7" s="446"/>
      <c r="D7" s="594" t="s">
        <v>633</v>
      </c>
      <c r="E7" s="674"/>
      <c r="F7" s="674"/>
      <c r="G7" s="674"/>
      <c r="H7" s="674"/>
      <c r="I7" s="674"/>
      <c r="J7" s="674"/>
      <c r="K7" s="674"/>
      <c r="L7" s="674"/>
      <c r="M7" s="674"/>
      <c r="N7" s="674"/>
      <c r="O7" s="674"/>
      <c r="P7" s="674"/>
      <c r="Q7" s="6"/>
      <c r="R7" s="1164"/>
      <c r="S7" s="1164"/>
      <c r="T7" s="29"/>
      <c r="U7" s="494"/>
      <c r="V7" s="227" t="s">
        <v>840</v>
      </c>
      <c r="W7" s="153"/>
      <c r="X7" s="153"/>
      <c r="Y7" s="30"/>
      <c r="Z7" s="30"/>
      <c r="AA7" s="30"/>
      <c r="AB7" s="30"/>
      <c r="AC7" s="30"/>
      <c r="AD7" s="30"/>
      <c r="AE7" s="30"/>
      <c r="AF7" s="36"/>
      <c r="AG7" s="145"/>
      <c r="AH7" s="454"/>
      <c r="AI7" s="455"/>
      <c r="AJ7" s="455"/>
      <c r="AK7" s="512"/>
      <c r="AL7" s="512"/>
      <c r="AM7" s="15"/>
      <c r="AN7" s="189"/>
      <c r="AP7" s="594"/>
      <c r="AQ7" s="449"/>
      <c r="AR7" s="133"/>
    </row>
    <row r="8" spans="1:46" ht="13.35" customHeight="1" x14ac:dyDescent="0.2">
      <c r="A8" s="140">
        <f t="shared" si="0"/>
        <v>5</v>
      </c>
      <c r="B8" s="167"/>
      <c r="C8" s="446"/>
      <c r="D8" s="594" t="s">
        <v>634</v>
      </c>
      <c r="E8" s="674"/>
      <c r="F8" s="674"/>
      <c r="G8" s="674"/>
      <c r="H8" s="674"/>
      <c r="I8" s="674"/>
      <c r="J8" s="674"/>
      <c r="K8" s="674"/>
      <c r="L8" s="674"/>
      <c r="M8" s="674"/>
      <c r="N8" s="674"/>
      <c r="O8" s="674"/>
      <c r="P8" s="674"/>
      <c r="Q8" s="6"/>
      <c r="R8" s="6"/>
      <c r="S8" s="6"/>
      <c r="T8" s="29"/>
      <c r="U8" s="675"/>
      <c r="V8" s="226"/>
      <c r="W8" s="1162"/>
      <c r="X8" s="1162"/>
      <c r="Y8" s="1162"/>
      <c r="Z8" s="1162"/>
      <c r="AA8" s="1162"/>
      <c r="AB8" s="1162"/>
      <c r="AC8" s="1162"/>
      <c r="AD8" s="1162"/>
      <c r="AE8" s="1162"/>
      <c r="AF8" s="1162"/>
      <c r="AG8" s="1162"/>
      <c r="AH8" s="1162"/>
      <c r="AI8" s="1162"/>
      <c r="AJ8" s="1162"/>
      <c r="AK8" s="1162"/>
      <c r="AL8" s="512"/>
      <c r="AM8" s="15"/>
      <c r="AN8" s="189"/>
      <c r="AP8" s="488"/>
      <c r="AQ8" s="449"/>
      <c r="AR8" s="133"/>
      <c r="AS8" s="36"/>
      <c r="AT8" s="36"/>
    </row>
    <row r="9" spans="1:46" x14ac:dyDescent="0.2">
      <c r="A9" s="140">
        <f t="shared" si="0"/>
        <v>6</v>
      </c>
      <c r="B9" s="167"/>
      <c r="C9" s="446"/>
      <c r="D9" s="595"/>
      <c r="E9" s="1162"/>
      <c r="F9" s="1162"/>
      <c r="G9" s="1162"/>
      <c r="H9" s="1162"/>
      <c r="I9" s="1162"/>
      <c r="J9" s="1162"/>
      <c r="K9" s="1162"/>
      <c r="L9" s="1162"/>
      <c r="M9" s="1162"/>
      <c r="N9" s="1162"/>
      <c r="O9" s="1162"/>
      <c r="P9" s="1162"/>
      <c r="Q9" s="1162"/>
      <c r="R9" s="1162"/>
      <c r="S9" s="1162"/>
      <c r="T9" s="29"/>
      <c r="U9" s="12"/>
      <c r="V9" s="466" t="s">
        <v>685</v>
      </c>
      <c r="W9" s="34"/>
      <c r="X9" s="5"/>
      <c r="Y9" s="5"/>
      <c r="Z9" s="5"/>
      <c r="AA9" s="5"/>
      <c r="AB9" s="5"/>
      <c r="AC9" s="5"/>
      <c r="AD9" s="5"/>
      <c r="AE9" s="6"/>
      <c r="AF9" s="36"/>
      <c r="AG9" s="458"/>
      <c r="AH9" s="1083"/>
      <c r="AI9" s="1083"/>
      <c r="AJ9" s="1083"/>
      <c r="AK9" s="1083"/>
      <c r="AL9" s="512"/>
      <c r="AM9" s="15"/>
      <c r="AN9" s="189"/>
    </row>
    <row r="10" spans="1:46" x14ac:dyDescent="0.2">
      <c r="A10" s="140">
        <f t="shared" si="0"/>
        <v>7</v>
      </c>
      <c r="B10" s="167"/>
      <c r="C10" s="446"/>
      <c r="D10" s="594" t="s">
        <v>635</v>
      </c>
      <c r="E10" s="678"/>
      <c r="F10" s="595"/>
      <c r="G10" s="595"/>
      <c r="H10" s="595"/>
      <c r="I10" s="595"/>
      <c r="J10" s="595"/>
      <c r="K10" s="595"/>
      <c r="L10" s="595" t="s">
        <v>737</v>
      </c>
      <c r="M10" s="502"/>
      <c r="N10" s="502"/>
      <c r="O10" s="502"/>
      <c r="P10" s="502"/>
      <c r="Q10" s="6"/>
      <c r="R10" s="1092"/>
      <c r="S10" s="1092"/>
      <c r="T10" s="679"/>
      <c r="AN10" s="189"/>
    </row>
    <row r="11" spans="1:46" x14ac:dyDescent="0.2">
      <c r="A11" s="140">
        <f t="shared" si="0"/>
        <v>8</v>
      </c>
      <c r="B11" s="167"/>
      <c r="C11" s="446"/>
      <c r="D11" s="594" t="s">
        <v>633</v>
      </c>
      <c r="E11" s="595"/>
      <c r="F11" s="674"/>
      <c r="G11" s="674"/>
      <c r="H11" s="674"/>
      <c r="I11" s="674"/>
      <c r="J11" s="674"/>
      <c r="K11" s="674"/>
      <c r="L11" s="495"/>
      <c r="M11" s="495"/>
      <c r="N11" s="495"/>
      <c r="O11" s="495"/>
      <c r="P11" s="495"/>
      <c r="Q11" s="173"/>
      <c r="R11" s="1161"/>
      <c r="S11" s="1161"/>
      <c r="T11" s="29"/>
      <c r="U11" s="1088" t="s">
        <v>730</v>
      </c>
      <c r="V11" s="1129"/>
      <c r="W11" s="1129"/>
      <c r="X11" s="1129"/>
      <c r="Y11" s="1129"/>
      <c r="Z11" s="1129"/>
      <c r="AA11" s="1129"/>
      <c r="AB11" s="1129"/>
      <c r="AC11" s="1129"/>
      <c r="AD11" s="1129"/>
      <c r="AE11" s="1129"/>
      <c r="AF11" s="1129"/>
      <c r="AG11" s="1129"/>
      <c r="AH11" s="1129"/>
      <c r="AI11" s="1129"/>
      <c r="AJ11" s="1129"/>
      <c r="AK11" s="1129"/>
      <c r="AL11" s="1129"/>
      <c r="AM11" s="1130"/>
      <c r="AN11" s="189"/>
    </row>
    <row r="12" spans="1:46" x14ac:dyDescent="0.2">
      <c r="A12" s="140">
        <f t="shared" si="0"/>
        <v>9</v>
      </c>
      <c r="B12" s="167"/>
      <c r="C12" s="498"/>
      <c r="D12" s="594" t="s">
        <v>634</v>
      </c>
      <c r="E12" s="173"/>
      <c r="F12" s="173"/>
      <c r="G12" s="173"/>
      <c r="H12" s="173"/>
      <c r="I12" s="173"/>
      <c r="J12" s="173"/>
      <c r="K12" s="173"/>
      <c r="L12" s="595"/>
      <c r="M12" s="502"/>
      <c r="N12" s="502"/>
      <c r="O12" s="502"/>
      <c r="P12" s="173"/>
      <c r="Q12" s="173"/>
      <c r="R12" s="173"/>
      <c r="S12" s="6"/>
      <c r="T12" s="29"/>
      <c r="U12" s="674"/>
      <c r="V12" s="594" t="s">
        <v>661</v>
      </c>
      <c r="W12" s="143"/>
      <c r="X12" s="469"/>
      <c r="Y12" s="21"/>
      <c r="Z12" s="21"/>
      <c r="AA12" s="21"/>
      <c r="AB12" s="36"/>
      <c r="AC12" s="36"/>
      <c r="AD12" s="36"/>
      <c r="AE12" s="36"/>
      <c r="AF12" s="36"/>
      <c r="AG12" s="471"/>
      <c r="AH12" s="454"/>
      <c r="AI12" s="455"/>
      <c r="AJ12" s="1116"/>
      <c r="AK12" s="1116"/>
      <c r="AL12" s="512"/>
      <c r="AM12" s="15"/>
      <c r="AN12" s="189"/>
    </row>
    <row r="13" spans="1:46" x14ac:dyDescent="0.2">
      <c r="A13" s="140">
        <f t="shared" si="0"/>
        <v>10</v>
      </c>
      <c r="B13" s="167"/>
      <c r="C13" s="389"/>
      <c r="D13" s="676"/>
      <c r="E13" s="1162"/>
      <c r="F13" s="1162"/>
      <c r="G13" s="1162"/>
      <c r="H13" s="1162"/>
      <c r="I13" s="1162"/>
      <c r="J13" s="1162"/>
      <c r="K13" s="1162"/>
      <c r="L13" s="1162"/>
      <c r="M13" s="1162"/>
      <c r="N13" s="1162"/>
      <c r="O13" s="1162"/>
      <c r="P13" s="1162"/>
      <c r="Q13" s="1162"/>
      <c r="R13" s="1162"/>
      <c r="S13" s="1162"/>
      <c r="T13" s="121"/>
      <c r="U13" s="496"/>
      <c r="V13" s="594" t="s">
        <v>662</v>
      </c>
      <c r="W13" s="143"/>
      <c r="X13" s="143"/>
      <c r="Y13" s="5"/>
      <c r="Z13" s="5"/>
      <c r="AA13" s="134"/>
      <c r="AB13" s="36"/>
      <c r="AC13" s="36"/>
      <c r="AD13" s="36"/>
      <c r="AE13" s="36"/>
      <c r="AF13" s="36" t="s">
        <v>727</v>
      </c>
      <c r="AG13" s="471"/>
      <c r="AH13" s="497"/>
      <c r="AI13" s="455"/>
      <c r="AJ13" s="1092"/>
      <c r="AK13" s="1092"/>
      <c r="AL13" s="512"/>
      <c r="AM13" s="15"/>
      <c r="AN13" s="189"/>
    </row>
    <row r="14" spans="1:46" x14ac:dyDescent="0.2">
      <c r="A14" s="140">
        <f t="shared" si="0"/>
        <v>11</v>
      </c>
      <c r="B14" s="167"/>
      <c r="C14" s="418"/>
      <c r="D14" s="594" t="s">
        <v>636</v>
      </c>
      <c r="E14" s="677"/>
      <c r="F14" s="674"/>
      <c r="G14" s="674"/>
      <c r="H14" s="674"/>
      <c r="I14" s="674"/>
      <c r="J14" s="674"/>
      <c r="K14" s="495"/>
      <c r="L14" s="595" t="s">
        <v>738</v>
      </c>
      <c r="M14" s="689"/>
      <c r="N14" s="689"/>
      <c r="O14" s="689"/>
      <c r="P14" s="689"/>
      <c r="Q14" s="689"/>
      <c r="R14" s="1092"/>
      <c r="S14" s="1092"/>
      <c r="T14" s="29"/>
      <c r="U14" s="12"/>
      <c r="V14" s="594" t="s">
        <v>663</v>
      </c>
      <c r="W14" s="143"/>
      <c r="X14" s="143"/>
      <c r="Y14" s="5"/>
      <c r="Z14" s="5"/>
      <c r="AA14" s="5"/>
      <c r="AB14" s="36"/>
      <c r="AC14" s="36"/>
      <c r="AD14" s="36"/>
      <c r="AE14" s="36"/>
      <c r="AF14" s="36" t="s">
        <v>731</v>
      </c>
      <c r="AG14" s="471"/>
      <c r="AH14" s="497"/>
      <c r="AI14" s="455"/>
      <c r="AJ14" s="1092"/>
      <c r="AK14" s="1092"/>
      <c r="AL14" s="512"/>
      <c r="AM14" s="15"/>
      <c r="AN14" s="189"/>
    </row>
    <row r="15" spans="1:46" x14ac:dyDescent="0.2">
      <c r="A15" s="140">
        <f t="shared" si="0"/>
        <v>12</v>
      </c>
      <c r="B15" s="167"/>
      <c r="C15" s="500"/>
      <c r="D15" s="594" t="s">
        <v>633</v>
      </c>
      <c r="E15" s="595"/>
      <c r="F15" s="674"/>
      <c r="G15" s="674"/>
      <c r="H15" s="674"/>
      <c r="I15" s="674"/>
      <c r="J15" s="674"/>
      <c r="K15" s="674"/>
      <c r="L15" s="495"/>
      <c r="M15" s="495"/>
      <c r="N15" s="495"/>
      <c r="O15" s="495"/>
      <c r="P15" s="495"/>
      <c r="Q15" s="173"/>
      <c r="R15" s="1161"/>
      <c r="S15" s="1161"/>
      <c r="T15" s="419"/>
      <c r="U15" s="114"/>
      <c r="V15" s="466"/>
      <c r="W15" s="143"/>
      <c r="X15" s="469"/>
      <c r="Y15" s="21"/>
      <c r="Z15" s="21"/>
      <c r="AA15" s="21"/>
      <c r="AB15" s="36"/>
      <c r="AC15" s="36"/>
      <c r="AD15" s="36"/>
      <c r="AE15" s="36"/>
      <c r="AF15" s="36"/>
      <c r="AG15" s="244"/>
      <c r="AH15" s="497"/>
      <c r="AI15" s="455"/>
      <c r="AJ15" s="455"/>
      <c r="AK15" s="512"/>
      <c r="AL15" s="512"/>
      <c r="AM15" s="15"/>
      <c r="AN15" s="189"/>
    </row>
    <row r="16" spans="1:46" x14ac:dyDescent="0.2">
      <c r="A16" s="140">
        <f t="shared" si="0"/>
        <v>13</v>
      </c>
      <c r="B16" s="167"/>
      <c r="D16" s="594" t="s">
        <v>634</v>
      </c>
      <c r="E16" s="173"/>
      <c r="F16" s="173"/>
      <c r="G16" s="173"/>
      <c r="H16" s="173"/>
      <c r="I16" s="173"/>
      <c r="J16" s="173"/>
      <c r="K16" s="173"/>
      <c r="L16" s="595"/>
      <c r="M16" s="502"/>
      <c r="N16" s="502"/>
      <c r="O16" s="502"/>
      <c r="P16" s="173"/>
      <c r="Q16" s="173"/>
      <c r="R16" s="173"/>
      <c r="S16" s="6"/>
      <c r="T16" s="29"/>
      <c r="U16" s="1088" t="s">
        <v>822</v>
      </c>
      <c r="V16" s="1129"/>
      <c r="W16" s="1129"/>
      <c r="X16" s="1129"/>
      <c r="Y16" s="1129"/>
      <c r="Z16" s="1129"/>
      <c r="AA16" s="1129"/>
      <c r="AB16" s="1129"/>
      <c r="AC16" s="1129"/>
      <c r="AD16" s="1129"/>
      <c r="AE16" s="1129"/>
      <c r="AF16" s="1129"/>
      <c r="AG16" s="1129"/>
      <c r="AH16" s="1129"/>
      <c r="AI16" s="1129"/>
      <c r="AJ16" s="1129"/>
      <c r="AK16" s="1129"/>
      <c r="AL16" s="1129"/>
      <c r="AM16" s="1130"/>
      <c r="AN16" s="189"/>
    </row>
    <row r="17" spans="1:40" x14ac:dyDescent="0.2">
      <c r="A17" s="140">
        <f t="shared" si="0"/>
        <v>14</v>
      </c>
      <c r="B17" s="167"/>
      <c r="D17" s="676"/>
      <c r="E17" s="1162"/>
      <c r="F17" s="1162"/>
      <c r="G17" s="1162"/>
      <c r="H17" s="1162"/>
      <c r="I17" s="1162"/>
      <c r="J17" s="1162"/>
      <c r="K17" s="1162"/>
      <c r="L17" s="1162"/>
      <c r="M17" s="1162"/>
      <c r="N17" s="1162"/>
      <c r="O17" s="1162"/>
      <c r="P17" s="1162"/>
      <c r="Q17" s="1162"/>
      <c r="R17" s="1162"/>
      <c r="S17" s="1162"/>
      <c r="T17" s="29"/>
      <c r="U17" s="680"/>
      <c r="V17" s="594" t="s">
        <v>664</v>
      </c>
      <c r="W17" s="143"/>
      <c r="X17" s="143"/>
      <c r="Y17" s="5"/>
      <c r="Z17" s="5"/>
      <c r="AA17" s="5"/>
      <c r="AB17" s="36"/>
      <c r="AC17" s="36"/>
      <c r="AD17" s="36"/>
      <c r="AE17" s="471"/>
      <c r="AF17" s="36"/>
      <c r="AG17" s="146"/>
      <c r="AH17" s="146"/>
      <c r="AI17" s="147"/>
      <c r="AJ17" s="1116"/>
      <c r="AK17" s="1116"/>
      <c r="AL17" s="455"/>
      <c r="AM17" s="15"/>
      <c r="AN17" s="189"/>
    </row>
    <row r="18" spans="1:40" x14ac:dyDescent="0.2">
      <c r="A18" s="140">
        <f t="shared" si="0"/>
        <v>15</v>
      </c>
      <c r="B18" s="167"/>
      <c r="C18" s="844" t="s">
        <v>765</v>
      </c>
      <c r="D18" s="702"/>
      <c r="E18" s="702"/>
      <c r="F18" s="702"/>
      <c r="G18" s="702"/>
      <c r="H18" s="702"/>
      <c r="I18" s="702"/>
      <c r="J18" s="702"/>
      <c r="K18" s="702"/>
      <c r="L18" s="702"/>
      <c r="M18" s="702"/>
      <c r="N18" s="702"/>
      <c r="O18" s="702"/>
      <c r="P18" s="702"/>
      <c r="Q18" s="702"/>
      <c r="R18" s="702"/>
      <c r="S18" s="702"/>
      <c r="T18" s="431"/>
      <c r="U18" s="681"/>
      <c r="V18" s="594" t="s">
        <v>690</v>
      </c>
      <c r="W18" s="143"/>
      <c r="X18" s="143"/>
      <c r="Y18" s="5"/>
      <c r="Z18" s="5"/>
      <c r="AA18" s="5"/>
      <c r="AB18" s="36"/>
      <c r="AC18" s="36"/>
      <c r="AD18" s="36"/>
      <c r="AE18" s="471"/>
      <c r="AF18" s="36"/>
      <c r="AG18" s="244"/>
      <c r="AH18" s="497"/>
      <c r="AI18" s="455"/>
      <c r="AJ18" s="1161"/>
      <c r="AK18" s="1161"/>
      <c r="AL18" s="455"/>
      <c r="AM18" s="15"/>
      <c r="AN18" s="189"/>
    </row>
    <row r="19" spans="1:40" x14ac:dyDescent="0.2">
      <c r="A19" s="140">
        <f t="shared" si="0"/>
        <v>16</v>
      </c>
      <c r="B19" s="167"/>
      <c r="D19" s="594" t="s">
        <v>688</v>
      </c>
      <c r="E19" s="677"/>
      <c r="F19" s="6"/>
      <c r="G19" s="6"/>
      <c r="H19" s="6"/>
      <c r="I19" s="6"/>
      <c r="J19" s="6"/>
      <c r="K19" s="385"/>
      <c r="L19" s="385"/>
      <c r="M19" s="513"/>
      <c r="N19" s="513"/>
      <c r="O19" s="513"/>
      <c r="P19" s="513"/>
      <c r="Q19" s="513"/>
      <c r="R19" s="1092"/>
      <c r="S19" s="1092"/>
      <c r="T19" s="431"/>
      <c r="U19" s="682"/>
      <c r="V19" s="594" t="s">
        <v>665</v>
      </c>
      <c r="W19" s="143"/>
      <c r="X19" s="143"/>
      <c r="Y19" s="5"/>
      <c r="Z19" s="5"/>
      <c r="AA19" s="5"/>
      <c r="AB19" s="36"/>
      <c r="AC19" s="36"/>
      <c r="AD19" s="36"/>
      <c r="AE19" s="471"/>
      <c r="AF19" s="36"/>
      <c r="AG19" s="244"/>
      <c r="AH19" s="497"/>
      <c r="AI19" s="455"/>
      <c r="AJ19" s="1165"/>
      <c r="AK19" s="1165"/>
      <c r="AL19" s="455"/>
      <c r="AM19" s="15"/>
      <c r="AN19" s="189"/>
    </row>
    <row r="20" spans="1:40" x14ac:dyDescent="0.2">
      <c r="A20" s="140">
        <f t="shared" si="0"/>
        <v>17</v>
      </c>
      <c r="B20" s="167"/>
      <c r="C20" s="500"/>
      <c r="D20" s="434" t="s">
        <v>637</v>
      </c>
      <c r="E20" s="678"/>
      <c r="F20" s="674"/>
      <c r="G20" s="674"/>
      <c r="H20" s="674"/>
      <c r="I20" s="674"/>
      <c r="J20" s="674"/>
      <c r="K20" s="674"/>
      <c r="L20" s="495"/>
      <c r="M20" s="495"/>
      <c r="N20" s="495"/>
      <c r="O20" s="495"/>
      <c r="P20" s="495"/>
      <c r="Q20" s="133"/>
      <c r="R20" s="1161"/>
      <c r="S20" s="1161"/>
      <c r="T20" s="431"/>
      <c r="U20" s="682"/>
      <c r="V20" s="434"/>
      <c r="W20" s="143"/>
      <c r="X20" s="143"/>
      <c r="Y20" s="5"/>
      <c r="Z20" s="5"/>
      <c r="AA20" s="5"/>
      <c r="AB20" s="36"/>
      <c r="AC20" s="594" t="s">
        <v>666</v>
      </c>
      <c r="AD20" s="36"/>
      <c r="AE20" s="471"/>
      <c r="AF20" s="36"/>
      <c r="AG20" s="244"/>
      <c r="AH20" s="497"/>
      <c r="AI20" s="455"/>
      <c r="AJ20" s="1161"/>
      <c r="AK20" s="1161"/>
      <c r="AL20" s="455"/>
      <c r="AM20" s="15"/>
      <c r="AN20" s="189"/>
    </row>
    <row r="21" spans="1:40" x14ac:dyDescent="0.2">
      <c r="A21" s="140">
        <f t="shared" ref="A21:A36" si="1">A20+1</f>
        <v>18</v>
      </c>
      <c r="B21" s="168"/>
      <c r="C21" s="500"/>
      <c r="D21" s="434" t="s">
        <v>638</v>
      </c>
      <c r="E21" s="677"/>
      <c r="F21" s="674"/>
      <c r="G21" s="674"/>
      <c r="H21" s="674"/>
      <c r="I21" s="674"/>
      <c r="J21" s="674"/>
      <c r="K21" s="385"/>
      <c r="L21" s="495"/>
      <c r="M21" s="450"/>
      <c r="N21" s="450"/>
      <c r="O21" s="450"/>
      <c r="P21" s="450"/>
      <c r="Q21" s="450"/>
      <c r="R21" s="1161"/>
      <c r="S21" s="1161"/>
      <c r="T21" s="431"/>
      <c r="U21" s="674"/>
      <c r="V21" s="594" t="s">
        <v>667</v>
      </c>
      <c r="W21" s="143"/>
      <c r="X21" s="143"/>
      <c r="Y21" s="5"/>
      <c r="Z21" s="5"/>
      <c r="AA21" s="5"/>
      <c r="AB21" s="36"/>
      <c r="AC21" s="36"/>
      <c r="AD21" s="36"/>
      <c r="AE21" s="36"/>
      <c r="AF21" s="36"/>
      <c r="AG21" s="1054"/>
      <c r="AH21" s="1054"/>
      <c r="AI21" s="1054"/>
      <c r="AJ21" s="1054"/>
      <c r="AK21" s="1054"/>
      <c r="AL21" s="12"/>
      <c r="AM21" s="15"/>
      <c r="AN21" s="208"/>
    </row>
    <row r="22" spans="1:40" ht="12.75" customHeight="1" x14ac:dyDescent="0.2">
      <c r="A22" s="140"/>
      <c r="B22" s="171"/>
      <c r="C22" s="446"/>
      <c r="D22" s="859"/>
      <c r="E22" s="677"/>
      <c r="F22" s="6"/>
      <c r="G22" s="6"/>
      <c r="H22" s="6"/>
      <c r="I22" s="6"/>
      <c r="J22" s="6"/>
      <c r="K22" s="385"/>
      <c r="L22" s="495"/>
      <c r="M22" s="450"/>
      <c r="N22" s="450"/>
      <c r="O22" s="450"/>
      <c r="P22" s="450"/>
      <c r="Q22" s="450"/>
      <c r="R22" s="1116"/>
      <c r="S22" s="1116"/>
      <c r="T22" s="431"/>
      <c r="U22" s="136"/>
      <c r="V22" s="594" t="s">
        <v>668</v>
      </c>
      <c r="W22" s="143"/>
      <c r="X22" s="143"/>
      <c r="Y22" s="5"/>
      <c r="Z22" s="5"/>
      <c r="AA22" s="5"/>
      <c r="AB22" s="36"/>
      <c r="AC22" s="36"/>
      <c r="AD22" s="36"/>
      <c r="AE22" s="471"/>
      <c r="AF22" s="36"/>
      <c r="AG22" s="146"/>
      <c r="AH22" s="146"/>
      <c r="AI22" s="147"/>
      <c r="AM22" s="15"/>
      <c r="AN22" s="207"/>
    </row>
    <row r="23" spans="1:40" x14ac:dyDescent="0.2">
      <c r="A23" s="140">
        <f>A21+1</f>
        <v>19</v>
      </c>
      <c r="B23" s="167"/>
      <c r="C23" s="416"/>
      <c r="D23" s="594" t="s">
        <v>767</v>
      </c>
      <c r="E23" s="6"/>
      <c r="F23" s="6"/>
      <c r="G23" s="173"/>
      <c r="H23" s="173"/>
      <c r="I23" s="173"/>
      <c r="J23" s="595"/>
      <c r="K23" s="595"/>
      <c r="L23" s="420"/>
      <c r="M23" s="517"/>
      <c r="N23" s="517"/>
      <c r="O23" s="517"/>
      <c r="P23" s="517"/>
      <c r="Q23" s="517"/>
      <c r="R23" s="517"/>
      <c r="S23" s="517"/>
      <c r="T23" s="431"/>
      <c r="U23" s="114"/>
      <c r="V23" s="133"/>
      <c r="W23" s="143"/>
      <c r="X23" s="143"/>
      <c r="Y23" s="5"/>
      <c r="Z23" s="5"/>
      <c r="AA23" s="5"/>
      <c r="AB23" s="36"/>
      <c r="AC23" s="36"/>
      <c r="AD23" s="36"/>
      <c r="AE23" s="471"/>
      <c r="AF23" s="36"/>
      <c r="AG23" s="244"/>
      <c r="AH23" s="497"/>
      <c r="AI23" s="636" t="s">
        <v>669</v>
      </c>
      <c r="AJ23" s="1161"/>
      <c r="AK23" s="1161"/>
      <c r="AL23" s="697" t="str">
        <f ca="1">Units!B19</f>
        <v>gpm</v>
      </c>
      <c r="AM23" s="15"/>
      <c r="AN23" s="189"/>
    </row>
    <row r="24" spans="1:40" x14ac:dyDescent="0.2">
      <c r="A24" s="140">
        <f t="shared" si="1"/>
        <v>20</v>
      </c>
      <c r="B24" s="167"/>
      <c r="C24" s="133"/>
      <c r="D24" s="677"/>
      <c r="E24" s="1163"/>
      <c r="F24" s="1163"/>
      <c r="G24" s="1163"/>
      <c r="H24" s="1163"/>
      <c r="I24" s="1163"/>
      <c r="J24" s="1163"/>
      <c r="K24" s="1163"/>
      <c r="L24" s="1163"/>
      <c r="M24" s="1163"/>
      <c r="N24" s="1163"/>
      <c r="O24" s="1163"/>
      <c r="P24" s="1163"/>
      <c r="Q24" s="1163"/>
      <c r="R24" s="1163"/>
      <c r="S24" s="1163"/>
      <c r="T24" s="431"/>
      <c r="U24" s="114"/>
      <c r="W24" s="226"/>
      <c r="X24" s="143"/>
      <c r="Y24" s="5"/>
      <c r="Z24" s="5"/>
      <c r="AA24" s="5"/>
      <c r="AB24" s="36"/>
      <c r="AC24" s="36"/>
      <c r="AD24" s="36"/>
      <c r="AE24" s="471"/>
      <c r="AF24" s="36"/>
      <c r="AG24" s="244"/>
      <c r="AH24" s="497"/>
      <c r="AI24" s="636" t="s">
        <v>670</v>
      </c>
      <c r="AJ24" s="1161"/>
      <c r="AK24" s="1161"/>
      <c r="AL24" s="697" t="str">
        <f ca="1">Units!B19</f>
        <v>gpm</v>
      </c>
      <c r="AM24" s="15"/>
      <c r="AN24" s="189"/>
    </row>
    <row r="25" spans="1:40" x14ac:dyDescent="0.2">
      <c r="A25" s="140">
        <f t="shared" si="1"/>
        <v>21</v>
      </c>
      <c r="B25" s="167"/>
      <c r="C25" s="846" t="s">
        <v>766</v>
      </c>
      <c r="T25" s="431"/>
      <c r="U25" s="114"/>
      <c r="V25" s="594" t="s">
        <v>671</v>
      </c>
      <c r="W25" s="143"/>
      <c r="X25" s="143"/>
      <c r="Y25" s="5"/>
      <c r="Z25" s="5"/>
      <c r="AA25" s="5"/>
      <c r="AB25" s="36"/>
      <c r="AC25" s="36"/>
      <c r="AD25" s="36"/>
      <c r="AE25" s="471"/>
      <c r="AF25" s="36"/>
      <c r="AG25" s="244"/>
      <c r="AH25" s="497"/>
      <c r="AI25" s="455"/>
      <c r="AJ25" s="1161"/>
      <c r="AK25" s="1161"/>
      <c r="AL25" s="697" t="str">
        <f ca="1">Units!B19</f>
        <v>gpm</v>
      </c>
      <c r="AM25" s="15"/>
      <c r="AN25" s="189"/>
    </row>
    <row r="26" spans="1:40" s="23" customFormat="1" ht="13.35" customHeight="1" x14ac:dyDescent="0.2">
      <c r="A26" s="140">
        <f t="shared" si="1"/>
        <v>22</v>
      </c>
      <c r="B26" s="167"/>
      <c r="C26" s="519"/>
      <c r="D26" s="594" t="s">
        <v>689</v>
      </c>
      <c r="E26" s="6"/>
      <c r="F26" s="6"/>
      <c r="G26" s="6"/>
      <c r="H26" s="173"/>
      <c r="I26" s="173"/>
      <c r="J26" s="173"/>
      <c r="K26" s="173"/>
      <c r="L26" s="420"/>
      <c r="M26" s="517"/>
      <c r="N26" s="517"/>
      <c r="O26" s="517"/>
      <c r="P26" s="517"/>
      <c r="Q26" s="517"/>
      <c r="R26" s="1092"/>
      <c r="S26" s="1092"/>
      <c r="T26" s="431"/>
      <c r="U26" s="114"/>
      <c r="V26" s="434" t="s">
        <v>672</v>
      </c>
      <c r="W26" s="143"/>
      <c r="X26" s="143"/>
      <c r="Y26" s="5"/>
      <c r="Z26" s="5"/>
      <c r="AA26" s="5"/>
      <c r="AB26" s="5"/>
      <c r="AC26" s="5"/>
      <c r="AD26" s="22"/>
      <c r="AE26" s="22"/>
      <c r="AF26" s="22"/>
      <c r="AG26" s="22"/>
      <c r="AH26" s="133"/>
      <c r="AI26" s="455"/>
      <c r="AJ26" s="1054"/>
      <c r="AK26" s="1054"/>
      <c r="AL26" s="455"/>
      <c r="AM26" s="15"/>
      <c r="AN26" s="206"/>
    </row>
    <row r="27" spans="1:40" x14ac:dyDescent="0.2">
      <c r="A27" s="140">
        <f t="shared" si="1"/>
        <v>23</v>
      </c>
      <c r="B27" s="167"/>
      <c r="C27" s="35"/>
      <c r="D27" s="594" t="s">
        <v>639</v>
      </c>
      <c r="E27" s="452"/>
      <c r="F27" s="452"/>
      <c r="G27" s="452"/>
      <c r="H27" s="452"/>
      <c r="I27" s="452"/>
      <c r="J27" s="452"/>
      <c r="K27" s="452"/>
      <c r="L27" s="452"/>
      <c r="M27" s="452"/>
      <c r="N27" s="452"/>
      <c r="O27" s="452"/>
      <c r="P27" s="452"/>
      <c r="Q27" s="452"/>
      <c r="R27" s="1116"/>
      <c r="S27" s="1116"/>
      <c r="T27" s="431"/>
      <c r="U27" s="114"/>
      <c r="W27" s="470" t="s">
        <v>209</v>
      </c>
      <c r="X27" s="470"/>
      <c r="Y27" s="456"/>
      <c r="Z27" s="456"/>
      <c r="AA27" s="456"/>
      <c r="AB27" s="456"/>
      <c r="AC27" s="1161"/>
      <c r="AD27" s="1161"/>
      <c r="AE27" s="1161"/>
      <c r="AF27" s="1161"/>
      <c r="AG27" s="1161"/>
      <c r="AH27" s="1161"/>
      <c r="AI27" s="1161"/>
      <c r="AJ27" s="1161"/>
      <c r="AK27" s="1161"/>
      <c r="AL27" s="455"/>
      <c r="AM27" s="103"/>
      <c r="AN27" s="189"/>
    </row>
    <row r="28" spans="1:40" x14ac:dyDescent="0.2">
      <c r="A28" s="140">
        <f t="shared" si="1"/>
        <v>24</v>
      </c>
      <c r="B28" s="167"/>
      <c r="C28" s="173"/>
      <c r="E28" s="693" t="s">
        <v>637</v>
      </c>
      <c r="F28" s="520"/>
      <c r="G28" s="520"/>
      <c r="H28" s="520"/>
      <c r="I28" s="520"/>
      <c r="J28" s="520"/>
      <c r="K28" s="520"/>
      <c r="L28" s="520"/>
      <c r="M28" s="520"/>
      <c r="N28" s="520"/>
      <c r="O28" s="520"/>
      <c r="P28" s="520"/>
      <c r="Q28" s="520"/>
      <c r="R28" s="1161"/>
      <c r="S28" s="1161"/>
      <c r="T28" s="431"/>
      <c r="U28" s="114"/>
      <c r="V28" s="434" t="s">
        <v>673</v>
      </c>
      <c r="W28" s="470"/>
      <c r="X28" s="470"/>
      <c r="Y28" s="456"/>
      <c r="Z28" s="456"/>
      <c r="AA28" s="456"/>
      <c r="AB28" s="456"/>
      <c r="AC28" s="5"/>
      <c r="AD28" s="20"/>
      <c r="AE28" s="471"/>
      <c r="AF28" s="22"/>
      <c r="AG28" s="20"/>
      <c r="AH28" s="5"/>
      <c r="AI28" s="478"/>
      <c r="AJ28" s="1054"/>
      <c r="AK28" s="1054"/>
      <c r="AL28" s="478"/>
      <c r="AM28" s="160"/>
      <c r="AN28" s="189"/>
    </row>
    <row r="29" spans="1:40" x14ac:dyDescent="0.2">
      <c r="A29" s="140">
        <f t="shared" si="1"/>
        <v>25</v>
      </c>
      <c r="B29" s="167"/>
      <c r="C29" s="35"/>
      <c r="D29" s="594" t="s">
        <v>640</v>
      </c>
      <c r="E29" s="454"/>
      <c r="F29" s="454"/>
      <c r="G29" s="454"/>
      <c r="H29" s="454"/>
      <c r="I29" s="454"/>
      <c r="J29" s="454"/>
      <c r="K29" s="454"/>
      <c r="L29" s="454"/>
      <c r="M29" s="454"/>
      <c r="N29" s="454"/>
      <c r="O29" s="173"/>
      <c r="P29" s="173"/>
      <c r="Q29" s="173"/>
      <c r="R29" s="1116"/>
      <c r="S29" s="1116"/>
      <c r="T29" s="431"/>
      <c r="U29" s="137"/>
      <c r="V29" s="226"/>
      <c r="W29" s="226"/>
      <c r="X29" s="226"/>
      <c r="Y29" s="36"/>
      <c r="Z29" s="36"/>
      <c r="AA29" s="36"/>
      <c r="AB29" s="36"/>
      <c r="AC29" s="36"/>
      <c r="AD29" s="36"/>
      <c r="AE29" s="471"/>
      <c r="AF29" s="36"/>
      <c r="AG29" s="36"/>
      <c r="AH29" s="454"/>
      <c r="AI29" s="478"/>
      <c r="AJ29" s="478"/>
      <c r="AK29" s="478"/>
      <c r="AL29" s="478"/>
      <c r="AM29" s="103"/>
      <c r="AN29" s="189"/>
    </row>
    <row r="30" spans="1:40" ht="13.35" customHeight="1" x14ac:dyDescent="0.2">
      <c r="A30" s="140">
        <f t="shared" si="1"/>
        <v>26</v>
      </c>
      <c r="B30" s="167"/>
      <c r="C30" s="454"/>
      <c r="E30" s="693" t="s">
        <v>643</v>
      </c>
      <c r="F30" s="494"/>
      <c r="G30" s="494"/>
      <c r="H30" s="494"/>
      <c r="I30" s="494"/>
      <c r="J30" s="494"/>
      <c r="K30" s="494"/>
      <c r="L30" s="494"/>
      <c r="M30" s="494"/>
      <c r="N30" s="20"/>
      <c r="O30" s="20"/>
      <c r="P30" s="455"/>
      <c r="Q30" s="455"/>
      <c r="R30" s="1161"/>
      <c r="S30" s="1161"/>
      <c r="T30" s="431"/>
      <c r="U30" s="1088" t="s">
        <v>674</v>
      </c>
      <c r="V30" s="1129"/>
      <c r="W30" s="1129"/>
      <c r="X30" s="1129"/>
      <c r="Y30" s="1129"/>
      <c r="Z30" s="1129"/>
      <c r="AA30" s="1129"/>
      <c r="AB30" s="1129"/>
      <c r="AC30" s="1129"/>
      <c r="AD30" s="1129"/>
      <c r="AE30" s="1129"/>
      <c r="AF30" s="1129"/>
      <c r="AG30" s="1129"/>
      <c r="AH30" s="1129"/>
      <c r="AI30" s="1129"/>
      <c r="AJ30" s="1129"/>
      <c r="AK30" s="1129"/>
      <c r="AL30" s="1129"/>
      <c r="AM30" s="1130"/>
      <c r="AN30" s="189"/>
    </row>
    <row r="31" spans="1:40" x14ac:dyDescent="0.2">
      <c r="A31" s="140">
        <f t="shared" si="1"/>
        <v>27</v>
      </c>
      <c r="B31" s="167"/>
      <c r="C31" s="35"/>
      <c r="D31" s="23"/>
      <c r="E31" s="693" t="s">
        <v>644</v>
      </c>
      <c r="F31" s="173"/>
      <c r="G31" s="173"/>
      <c r="H31" s="173"/>
      <c r="I31" s="173"/>
      <c r="J31" s="415"/>
      <c r="K31" s="415"/>
      <c r="L31" s="415"/>
      <c r="M31" s="415"/>
      <c r="N31" s="415"/>
      <c r="O31" s="691"/>
      <c r="P31" s="691"/>
      <c r="Q31" s="691"/>
      <c r="R31" s="1161"/>
      <c r="S31" s="1161"/>
      <c r="T31" s="431"/>
      <c r="U31" s="446"/>
      <c r="V31" s="594" t="s">
        <v>768</v>
      </c>
      <c r="W31" s="472"/>
      <c r="X31" s="471"/>
      <c r="Y31" s="449"/>
      <c r="Z31" s="449"/>
      <c r="AA31" s="449"/>
      <c r="AB31" s="449"/>
      <c r="AC31" s="449"/>
      <c r="AD31" s="449"/>
      <c r="AE31" s="449"/>
      <c r="AF31" s="449"/>
      <c r="AG31" s="449"/>
      <c r="AH31" s="449"/>
      <c r="AI31" s="449"/>
      <c r="AJ31" s="449"/>
      <c r="AK31" s="449"/>
      <c r="AL31" s="449"/>
      <c r="AM31" s="103"/>
      <c r="AN31" s="189"/>
    </row>
    <row r="32" spans="1:40" x14ac:dyDescent="0.2">
      <c r="A32" s="140">
        <f t="shared" si="1"/>
        <v>28</v>
      </c>
      <c r="B32" s="167"/>
      <c r="C32" s="133"/>
      <c r="D32" s="594" t="s">
        <v>823</v>
      </c>
      <c r="E32" s="454"/>
      <c r="F32" s="454"/>
      <c r="G32" s="454"/>
      <c r="H32" s="454"/>
      <c r="I32" s="454"/>
      <c r="J32" s="454"/>
      <c r="K32" s="454"/>
      <c r="L32" s="454"/>
      <c r="M32" s="454"/>
      <c r="N32" s="454"/>
      <c r="O32" s="454"/>
      <c r="P32" s="454"/>
      <c r="Q32" s="133"/>
      <c r="R32" s="1092"/>
      <c r="S32" s="1092"/>
      <c r="T32" s="431"/>
      <c r="U32" s="446"/>
      <c r="V32" s="472"/>
      <c r="W32" s="463"/>
      <c r="X32" s="451"/>
      <c r="Y32" s="449" t="s">
        <v>56</v>
      </c>
      <c r="Z32" s="451"/>
      <c r="AA32" s="451"/>
      <c r="AB32" s="451"/>
      <c r="AC32" s="451"/>
      <c r="AD32" s="451"/>
      <c r="AE32" s="451"/>
      <c r="AF32" s="451"/>
      <c r="AG32" s="451"/>
      <c r="AH32" s="451"/>
      <c r="AI32" s="451"/>
      <c r="AJ32" s="1092"/>
      <c r="AK32" s="1092"/>
      <c r="AL32" s="455"/>
      <c r="AM32" s="103"/>
      <c r="AN32" s="189"/>
    </row>
    <row r="33" spans="1:40" ht="13.35" customHeight="1" x14ac:dyDescent="0.2">
      <c r="A33" s="140">
        <f t="shared" si="1"/>
        <v>29</v>
      </c>
      <c r="B33" s="167"/>
      <c r="C33" s="133"/>
      <c r="D33" s="594" t="s">
        <v>641</v>
      </c>
      <c r="E33" s="133"/>
      <c r="F33" s="133"/>
      <c r="G33" s="454"/>
      <c r="H33" s="454"/>
      <c r="I33" s="454"/>
      <c r="J33" s="454"/>
      <c r="K33" s="1158"/>
      <c r="L33" s="1158"/>
      <c r="M33" s="1158"/>
      <c r="N33" s="1158"/>
      <c r="O33" s="1158"/>
      <c r="P33" s="1158"/>
      <c r="Q33" s="1158"/>
      <c r="R33" s="1158"/>
      <c r="S33" s="1158"/>
      <c r="T33" s="431"/>
      <c r="U33" s="446"/>
      <c r="V33" s="482"/>
      <c r="W33" s="463"/>
      <c r="X33" s="451"/>
      <c r="Y33" s="449" t="s">
        <v>55</v>
      </c>
      <c r="Z33" s="451"/>
      <c r="AA33" s="451"/>
      <c r="AB33" s="451"/>
      <c r="AC33" s="451"/>
      <c r="AD33" s="451"/>
      <c r="AE33" s="451"/>
      <c r="AF33" s="451"/>
      <c r="AG33" s="451"/>
      <c r="AH33" s="451"/>
      <c r="AI33" s="451"/>
      <c r="AJ33" s="1116"/>
      <c r="AK33" s="1116"/>
      <c r="AL33" s="451"/>
      <c r="AM33" s="116"/>
      <c r="AN33" s="189"/>
    </row>
    <row r="34" spans="1:40" x14ac:dyDescent="0.2">
      <c r="A34" s="140">
        <f t="shared" si="1"/>
        <v>30</v>
      </c>
      <c r="B34" s="167"/>
      <c r="C34" s="683"/>
      <c r="D34" s="836" t="s">
        <v>642</v>
      </c>
      <c r="E34" s="35"/>
      <c r="F34" s="6"/>
      <c r="G34" s="6"/>
      <c r="H34" s="20"/>
      <c r="I34" s="6"/>
      <c r="J34" s="6"/>
      <c r="K34" s="6"/>
      <c r="L34" s="20"/>
      <c r="M34" s="454"/>
      <c r="N34" s="146"/>
      <c r="O34" s="454"/>
      <c r="P34" s="517"/>
      <c r="Q34" s="517"/>
      <c r="R34" s="517"/>
      <c r="S34" s="517"/>
      <c r="T34" s="431"/>
      <c r="U34" s="446"/>
      <c r="V34" s="483"/>
      <c r="W34" s="463"/>
      <c r="X34" s="451"/>
      <c r="Y34" s="449" t="s">
        <v>675</v>
      </c>
      <c r="Z34" s="451"/>
      <c r="AA34" s="451"/>
      <c r="AB34" s="451"/>
      <c r="AC34" s="451"/>
      <c r="AD34" s="451"/>
      <c r="AE34" s="451"/>
      <c r="AF34" s="451"/>
      <c r="AG34" s="451"/>
      <c r="AH34" s="451"/>
      <c r="AI34" s="451"/>
      <c r="AJ34" s="1116"/>
      <c r="AK34" s="1116"/>
      <c r="AL34" s="451"/>
      <c r="AM34" s="15"/>
      <c r="AN34" s="189"/>
    </row>
    <row r="35" spans="1:40" x14ac:dyDescent="0.2">
      <c r="A35" s="140">
        <f t="shared" si="1"/>
        <v>31</v>
      </c>
      <c r="B35" s="167"/>
      <c r="C35" s="454"/>
      <c r="D35" s="1159"/>
      <c r="E35" s="1156"/>
      <c r="F35" s="1156"/>
      <c r="G35" s="1156"/>
      <c r="H35" s="1156"/>
      <c r="I35" s="1156"/>
      <c r="J35" s="1156"/>
      <c r="K35" s="1156"/>
      <c r="L35" s="1156"/>
      <c r="M35" s="1156"/>
      <c r="N35" s="1156"/>
      <c r="O35" s="1156"/>
      <c r="P35" s="1156"/>
      <c r="Q35" s="1156"/>
      <c r="R35" s="1156"/>
      <c r="S35" s="1156"/>
      <c r="T35" s="431"/>
      <c r="U35" s="446"/>
      <c r="V35" s="483"/>
      <c r="W35" s="475" t="s">
        <v>769</v>
      </c>
      <c r="X35" s="473"/>
      <c r="Y35" s="450"/>
      <c r="Z35" s="450"/>
      <c r="AA35" s="450"/>
      <c r="AB35" s="450"/>
      <c r="AC35" s="450"/>
      <c r="AD35" s="450"/>
      <c r="AE35" s="450"/>
      <c r="AF35" s="450"/>
      <c r="AG35" s="450"/>
      <c r="AH35" s="450"/>
      <c r="AI35" s="450"/>
      <c r="AJ35" s="1092"/>
      <c r="AK35" s="1092"/>
      <c r="AL35" s="451"/>
      <c r="AM35" s="15"/>
      <c r="AN35" s="189"/>
    </row>
    <row r="36" spans="1:40" x14ac:dyDescent="0.2">
      <c r="A36" s="140">
        <f t="shared" si="1"/>
        <v>32</v>
      </c>
      <c r="B36" s="167"/>
      <c r="C36" s="22"/>
      <c r="D36" s="845"/>
      <c r="E36" s="845"/>
      <c r="F36" s="845"/>
      <c r="G36" s="845"/>
      <c r="H36" s="845"/>
      <c r="I36" s="845"/>
      <c r="J36" s="845"/>
      <c r="K36" s="845"/>
      <c r="L36" s="845"/>
      <c r="M36" s="845"/>
      <c r="N36" s="845"/>
      <c r="O36" s="845"/>
      <c r="P36" s="845"/>
      <c r="Q36" s="845"/>
      <c r="R36" s="845"/>
      <c r="S36" s="845"/>
      <c r="T36" s="431"/>
      <c r="U36" s="446"/>
      <c r="V36" s="483"/>
      <c r="W36" s="469" t="s">
        <v>770</v>
      </c>
      <c r="X36" s="473"/>
      <c r="Y36" s="450"/>
      <c r="Z36" s="450"/>
      <c r="AA36" s="450"/>
      <c r="AB36" s="450"/>
      <c r="AC36" s="450"/>
      <c r="AD36" s="450"/>
      <c r="AE36" s="450"/>
      <c r="AF36" s="450"/>
      <c r="AG36" s="450"/>
      <c r="AH36" s="450"/>
      <c r="AI36" s="450"/>
      <c r="AJ36" s="1092"/>
      <c r="AK36" s="1092"/>
      <c r="AL36" s="451"/>
      <c r="AM36" s="15"/>
      <c r="AN36" s="189"/>
    </row>
    <row r="37" spans="1:40" x14ac:dyDescent="0.2">
      <c r="A37" s="140">
        <f t="shared" ref="A37:A69" si="2">A36+1</f>
        <v>33</v>
      </c>
      <c r="B37" s="167"/>
      <c r="C37" s="522"/>
      <c r="D37" s="845"/>
      <c r="E37" s="845"/>
      <c r="F37" s="845"/>
      <c r="G37" s="845"/>
      <c r="H37" s="845"/>
      <c r="I37" s="845"/>
      <c r="J37" s="845"/>
      <c r="K37" s="845"/>
      <c r="L37" s="845"/>
      <c r="M37" s="845"/>
      <c r="N37" s="845"/>
      <c r="O37" s="845"/>
      <c r="P37" s="845"/>
      <c r="Q37" s="845"/>
      <c r="R37" s="845"/>
      <c r="S37" s="845"/>
      <c r="T37" s="692"/>
      <c r="U37" s="522"/>
      <c r="V37" s="449"/>
      <c r="W37" s="449"/>
      <c r="X37" s="449"/>
      <c r="Y37" s="449"/>
      <c r="Z37" s="449"/>
      <c r="AA37" s="449"/>
      <c r="AB37" s="449"/>
      <c r="AC37" s="449"/>
      <c r="AD37" s="449"/>
      <c r="AE37" s="449"/>
      <c r="AF37" s="449"/>
      <c r="AG37" s="449"/>
      <c r="AH37" s="449"/>
      <c r="AI37" s="449"/>
      <c r="AJ37" s="449"/>
      <c r="AK37" s="449"/>
      <c r="AL37" s="449"/>
      <c r="AM37" s="848"/>
      <c r="AN37" s="189"/>
    </row>
    <row r="38" spans="1:40" x14ac:dyDescent="0.2">
      <c r="A38" s="140">
        <f t="shared" si="2"/>
        <v>34</v>
      </c>
      <c r="B38" s="167"/>
      <c r="C38" s="523"/>
      <c r="D38" s="845"/>
      <c r="E38" s="845"/>
      <c r="F38" s="845"/>
      <c r="G38" s="845"/>
      <c r="H38" s="845"/>
      <c r="I38" s="845"/>
      <c r="J38" s="845"/>
      <c r="K38" s="845"/>
      <c r="L38" s="845"/>
      <c r="M38" s="845"/>
      <c r="N38" s="845"/>
      <c r="O38" s="845"/>
      <c r="P38" s="845"/>
      <c r="Q38" s="845"/>
      <c r="R38" s="845"/>
      <c r="S38" s="845"/>
      <c r="T38" s="6"/>
      <c r="U38" s="446"/>
      <c r="V38" s="483"/>
      <c r="W38" s="14"/>
      <c r="X38" s="113"/>
      <c r="Y38" s="113"/>
      <c r="Z38" s="113"/>
      <c r="AA38" s="113"/>
      <c r="AB38" s="113"/>
      <c r="AC38" s="113"/>
      <c r="AD38" s="113"/>
      <c r="AE38" s="113"/>
      <c r="AF38" s="113"/>
      <c r="AG38" s="113"/>
      <c r="AH38" s="113"/>
      <c r="AI38" s="452"/>
      <c r="AJ38" s="451"/>
      <c r="AK38" s="451"/>
      <c r="AL38" s="451"/>
      <c r="AM38" s="15"/>
      <c r="AN38" s="189"/>
    </row>
    <row r="39" spans="1:40" x14ac:dyDescent="0.2">
      <c r="A39" s="140">
        <f t="shared" si="2"/>
        <v>35</v>
      </c>
      <c r="B39" s="167"/>
      <c r="D39" s="845"/>
      <c r="E39" s="845"/>
      <c r="F39" s="845"/>
      <c r="G39" s="845"/>
      <c r="H39" s="845"/>
      <c r="I39" s="845"/>
      <c r="J39" s="845"/>
      <c r="K39" s="845"/>
      <c r="L39" s="845"/>
      <c r="M39" s="845"/>
      <c r="N39" s="845"/>
      <c r="O39" s="845"/>
      <c r="P39" s="845"/>
      <c r="Q39" s="845"/>
      <c r="R39" s="845"/>
      <c r="S39" s="845"/>
      <c r="T39" s="690"/>
      <c r="U39" s="416"/>
      <c r="V39" s="483"/>
      <c r="W39" s="12"/>
      <c r="X39" s="474"/>
      <c r="Y39" s="12"/>
      <c r="Z39" s="12"/>
      <c r="AA39" s="12"/>
      <c r="AB39" s="12"/>
      <c r="AC39" s="12"/>
      <c r="AD39" s="12"/>
      <c r="AE39" s="453"/>
      <c r="AF39" s="7"/>
      <c r="AG39" s="12"/>
      <c r="AH39" s="454"/>
      <c r="AI39" s="455"/>
      <c r="AJ39" s="451"/>
      <c r="AK39" s="451"/>
      <c r="AL39" s="451"/>
      <c r="AM39" s="15"/>
      <c r="AN39" s="189"/>
    </row>
    <row r="40" spans="1:40" x14ac:dyDescent="0.2">
      <c r="A40" s="140">
        <f t="shared" si="2"/>
        <v>36</v>
      </c>
      <c r="B40" s="167"/>
      <c r="D40" s="845"/>
      <c r="E40" s="845"/>
      <c r="F40" s="845"/>
      <c r="G40" s="845"/>
      <c r="H40" s="845"/>
      <c r="I40" s="845"/>
      <c r="J40" s="845"/>
      <c r="K40" s="845"/>
      <c r="L40" s="845"/>
      <c r="M40" s="845"/>
      <c r="N40" s="845"/>
      <c r="O40" s="845"/>
      <c r="P40" s="845"/>
      <c r="Q40" s="845"/>
      <c r="R40" s="845"/>
      <c r="S40" s="845"/>
      <c r="T40" s="173"/>
      <c r="U40" s="416"/>
      <c r="V40" s="483"/>
      <c r="W40" s="12"/>
      <c r="X40" s="474"/>
      <c r="Y40" s="12"/>
      <c r="Z40" s="12"/>
      <c r="AA40" s="12"/>
      <c r="AB40" s="12"/>
      <c r="AC40" s="12"/>
      <c r="AD40" s="12"/>
      <c r="AE40" s="453"/>
      <c r="AF40" s="113"/>
      <c r="AG40" s="113"/>
      <c r="AH40" s="454"/>
      <c r="AI40" s="455"/>
      <c r="AJ40" s="1157"/>
      <c r="AK40" s="1157"/>
      <c r="AL40" s="1157"/>
      <c r="AM40" s="15"/>
      <c r="AN40" s="189"/>
    </row>
    <row r="41" spans="1:40" x14ac:dyDescent="0.2">
      <c r="A41" s="140">
        <f t="shared" si="2"/>
        <v>37</v>
      </c>
      <c r="B41" s="167"/>
      <c r="D41" s="845"/>
      <c r="E41" s="845"/>
      <c r="F41" s="845"/>
      <c r="G41" s="845"/>
      <c r="H41" s="845"/>
      <c r="I41" s="845"/>
      <c r="J41" s="845"/>
      <c r="K41" s="845"/>
      <c r="L41" s="845"/>
      <c r="M41" s="845"/>
      <c r="N41" s="845"/>
      <c r="O41" s="845"/>
      <c r="P41" s="845"/>
      <c r="Q41" s="845"/>
      <c r="R41" s="845"/>
      <c r="S41" s="845"/>
      <c r="T41" s="173"/>
      <c r="U41" s="416"/>
      <c r="V41" s="483"/>
      <c r="W41" s="239"/>
      <c r="X41" s="472"/>
      <c r="Y41" s="133"/>
      <c r="Z41" s="133"/>
      <c r="AA41" s="133"/>
      <c r="AB41" s="133"/>
      <c r="AC41" s="133"/>
      <c r="AD41" s="133"/>
      <c r="AE41" s="133"/>
      <c r="AF41" s="133"/>
      <c r="AG41" s="133"/>
      <c r="AH41" s="454"/>
      <c r="AI41" s="455"/>
      <c r="AJ41" s="1157"/>
      <c r="AK41" s="1157"/>
      <c r="AL41" s="1157"/>
      <c r="AM41" s="103"/>
      <c r="AN41" s="189"/>
    </row>
    <row r="42" spans="1:40" x14ac:dyDescent="0.2">
      <c r="A42" s="140">
        <f t="shared" si="2"/>
        <v>38</v>
      </c>
      <c r="B42" s="167"/>
      <c r="D42" s="1156"/>
      <c r="E42" s="1156"/>
      <c r="F42" s="1156"/>
      <c r="G42" s="1156"/>
      <c r="H42" s="1156"/>
      <c r="I42" s="1156"/>
      <c r="J42" s="1156"/>
      <c r="K42" s="1156"/>
      <c r="L42" s="1156"/>
      <c r="M42" s="1156"/>
      <c r="N42" s="1156"/>
      <c r="O42" s="1156"/>
      <c r="P42" s="1156"/>
      <c r="Q42" s="1156"/>
      <c r="R42" s="1156"/>
      <c r="S42" s="1156"/>
      <c r="T42" s="133"/>
      <c r="U42" s="501"/>
      <c r="V42" s="483"/>
      <c r="W42" s="240"/>
      <c r="X42" s="240"/>
      <c r="Y42" s="126"/>
      <c r="Z42" s="126"/>
      <c r="AA42" s="126"/>
      <c r="AB42" s="126"/>
      <c r="AC42" s="126"/>
      <c r="AD42" s="126"/>
      <c r="AE42" s="126"/>
      <c r="AF42" s="126"/>
      <c r="AG42" s="126"/>
      <c r="AH42" s="454"/>
      <c r="AI42" s="454"/>
      <c r="AJ42" s="1157"/>
      <c r="AK42" s="1157"/>
      <c r="AL42" s="1157"/>
      <c r="AM42" s="103"/>
      <c r="AN42" s="189"/>
    </row>
    <row r="43" spans="1:40" x14ac:dyDescent="0.2">
      <c r="A43" s="140">
        <f t="shared" si="2"/>
        <v>39</v>
      </c>
      <c r="B43" s="167"/>
      <c r="D43" s="1156"/>
      <c r="E43" s="1156"/>
      <c r="F43" s="1156"/>
      <c r="G43" s="1156"/>
      <c r="H43" s="1156"/>
      <c r="I43" s="1156"/>
      <c r="J43" s="1156"/>
      <c r="K43" s="1156"/>
      <c r="L43" s="1156"/>
      <c r="M43" s="1156"/>
      <c r="N43" s="1156"/>
      <c r="O43" s="1156"/>
      <c r="P43" s="1156"/>
      <c r="Q43" s="1156"/>
      <c r="R43" s="1156"/>
      <c r="S43" s="1156"/>
      <c r="T43" s="133"/>
      <c r="U43" s="501"/>
      <c r="V43" s="483"/>
      <c r="W43" s="475"/>
      <c r="X43" s="475"/>
      <c r="Y43" s="434"/>
      <c r="Z43" s="434"/>
      <c r="AA43" s="434"/>
      <c r="AB43" s="434"/>
      <c r="AC43" s="434"/>
      <c r="AD43" s="434"/>
      <c r="AE43" s="434"/>
      <c r="AF43" s="434"/>
      <c r="AG43" s="434"/>
      <c r="AH43" s="434"/>
      <c r="AI43" s="434"/>
      <c r="AJ43" s="1157"/>
      <c r="AK43" s="1157"/>
      <c r="AL43" s="1157"/>
      <c r="AM43" s="103"/>
      <c r="AN43" s="189"/>
    </row>
    <row r="44" spans="1:40" x14ac:dyDescent="0.2">
      <c r="A44" s="140">
        <f t="shared" si="2"/>
        <v>40</v>
      </c>
      <c r="B44" s="167"/>
      <c r="D44" s="1156"/>
      <c r="E44" s="1156"/>
      <c r="F44" s="1156"/>
      <c r="G44" s="1156"/>
      <c r="H44" s="1156"/>
      <c r="I44" s="1156"/>
      <c r="J44" s="1156"/>
      <c r="K44" s="1156"/>
      <c r="L44" s="1156"/>
      <c r="M44" s="1156"/>
      <c r="N44" s="1156"/>
      <c r="O44" s="1156"/>
      <c r="P44" s="1156"/>
      <c r="Q44" s="1156"/>
      <c r="R44" s="1156"/>
      <c r="S44" s="1156"/>
      <c r="T44" s="133"/>
      <c r="U44" s="447"/>
      <c r="V44" s="483"/>
      <c r="W44" s="435"/>
      <c r="X44" s="435"/>
      <c r="Y44" s="435"/>
      <c r="Z44" s="435"/>
      <c r="AA44" s="435"/>
      <c r="AB44" s="435"/>
      <c r="AC44" s="435"/>
      <c r="AD44" s="435"/>
      <c r="AE44" s="435"/>
      <c r="AF44" s="435"/>
      <c r="AG44" s="435"/>
      <c r="AH44" s="435"/>
      <c r="AI44" s="435"/>
      <c r="AJ44" s="1157"/>
      <c r="AK44" s="1157"/>
      <c r="AL44" s="1157"/>
      <c r="AM44" s="431"/>
      <c r="AN44" s="189"/>
    </row>
    <row r="45" spans="1:40" x14ac:dyDescent="0.2">
      <c r="A45" s="140">
        <f t="shared" si="2"/>
        <v>41</v>
      </c>
      <c r="B45" s="167"/>
      <c r="D45" s="1156"/>
      <c r="E45" s="1156"/>
      <c r="F45" s="1156"/>
      <c r="G45" s="1156"/>
      <c r="H45" s="1156"/>
      <c r="I45" s="1156"/>
      <c r="J45" s="1156"/>
      <c r="K45" s="1156"/>
      <c r="L45" s="1156"/>
      <c r="M45" s="1156"/>
      <c r="N45" s="1156"/>
      <c r="O45" s="1156"/>
      <c r="P45" s="1156"/>
      <c r="Q45" s="1156"/>
      <c r="R45" s="1156"/>
      <c r="S45" s="1156"/>
      <c r="T45" s="133"/>
      <c r="U45" s="448"/>
      <c r="V45" s="483"/>
      <c r="W45" s="435"/>
      <c r="X45" s="435"/>
      <c r="Y45" s="435"/>
      <c r="Z45" s="435"/>
      <c r="AA45" s="435"/>
      <c r="AB45" s="435"/>
      <c r="AC45" s="435"/>
      <c r="AD45" s="435"/>
      <c r="AE45" s="435"/>
      <c r="AF45" s="435"/>
      <c r="AG45" s="435"/>
      <c r="AH45" s="435"/>
      <c r="AI45" s="435"/>
      <c r="AJ45" s="1157"/>
      <c r="AK45" s="1157"/>
      <c r="AL45" s="1157"/>
      <c r="AM45" s="431"/>
      <c r="AN45" s="189"/>
    </row>
    <row r="46" spans="1:40" x14ac:dyDescent="0.2">
      <c r="A46" s="140">
        <f t="shared" si="2"/>
        <v>42</v>
      </c>
      <c r="B46" s="167"/>
      <c r="D46" s="1156"/>
      <c r="E46" s="1156"/>
      <c r="F46" s="1156"/>
      <c r="G46" s="1156"/>
      <c r="H46" s="1156"/>
      <c r="I46" s="1156"/>
      <c r="J46" s="1156"/>
      <c r="K46" s="1156"/>
      <c r="L46" s="1156"/>
      <c r="M46" s="1156"/>
      <c r="N46" s="1156"/>
      <c r="O46" s="1156"/>
      <c r="P46" s="1156"/>
      <c r="Q46" s="1156"/>
      <c r="R46" s="1156"/>
      <c r="S46" s="1156"/>
      <c r="T46" s="6"/>
      <c r="U46" s="448"/>
      <c r="V46" s="484"/>
      <c r="W46" s="435"/>
      <c r="X46" s="435"/>
      <c r="Y46" s="435"/>
      <c r="Z46" s="435"/>
      <c r="AA46" s="435"/>
      <c r="AB46" s="435"/>
      <c r="AC46" s="435"/>
      <c r="AD46" s="435"/>
      <c r="AE46" s="435"/>
      <c r="AF46" s="435"/>
      <c r="AG46" s="435"/>
      <c r="AH46" s="435"/>
      <c r="AI46" s="435"/>
      <c r="AJ46" s="1157"/>
      <c r="AK46" s="1157"/>
      <c r="AL46" s="1157"/>
      <c r="AM46" s="431"/>
      <c r="AN46" s="189"/>
    </row>
    <row r="47" spans="1:40" x14ac:dyDescent="0.2">
      <c r="A47" s="140">
        <f t="shared" si="2"/>
        <v>43</v>
      </c>
      <c r="B47" s="167"/>
      <c r="D47" s="1156"/>
      <c r="E47" s="1156"/>
      <c r="F47" s="1156"/>
      <c r="G47" s="1156"/>
      <c r="H47" s="1156"/>
      <c r="I47" s="1156"/>
      <c r="J47" s="1156"/>
      <c r="K47" s="1156"/>
      <c r="L47" s="1156"/>
      <c r="M47" s="1156"/>
      <c r="N47" s="1156"/>
      <c r="O47" s="1156"/>
      <c r="P47" s="1156"/>
      <c r="Q47" s="1156"/>
      <c r="R47" s="1156"/>
      <c r="S47" s="1156"/>
      <c r="T47" s="30"/>
      <c r="U47" s="448"/>
      <c r="V47" s="484"/>
      <c r="W47" s="435"/>
      <c r="X47" s="435"/>
      <c r="Y47" s="435"/>
      <c r="Z47" s="435"/>
      <c r="AA47" s="435"/>
      <c r="AB47" s="435"/>
      <c r="AC47" s="435"/>
      <c r="AD47" s="435"/>
      <c r="AE47" s="435"/>
      <c r="AF47" s="435"/>
      <c r="AG47" s="435"/>
      <c r="AH47" s="435"/>
      <c r="AI47" s="435"/>
      <c r="AJ47" s="1157"/>
      <c r="AK47" s="1157"/>
      <c r="AL47" s="1157"/>
      <c r="AM47" s="431"/>
      <c r="AN47" s="189"/>
    </row>
    <row r="48" spans="1:40" s="23" customFormat="1" ht="13.35" customHeight="1" x14ac:dyDescent="0.2">
      <c r="A48" s="140">
        <f t="shared" si="2"/>
        <v>44</v>
      </c>
      <c r="B48" s="167"/>
      <c r="D48" s="1156"/>
      <c r="E48" s="1156"/>
      <c r="F48" s="1156"/>
      <c r="G48" s="1156"/>
      <c r="H48" s="1156"/>
      <c r="I48" s="1156"/>
      <c r="J48" s="1156"/>
      <c r="K48" s="1156"/>
      <c r="L48" s="1156"/>
      <c r="M48" s="1156"/>
      <c r="N48" s="1156"/>
      <c r="O48" s="1156"/>
      <c r="P48" s="1156"/>
      <c r="Q48" s="1156"/>
      <c r="R48" s="1156"/>
      <c r="S48" s="1156"/>
      <c r="T48" s="6"/>
      <c r="U48" s="448"/>
      <c r="V48" s="484"/>
      <c r="W48" s="435"/>
      <c r="X48" s="435"/>
      <c r="Y48" s="435"/>
      <c r="Z48" s="435"/>
      <c r="AA48" s="435"/>
      <c r="AB48" s="435"/>
      <c r="AC48" s="435"/>
      <c r="AD48" s="435"/>
      <c r="AE48" s="435"/>
      <c r="AF48" s="435"/>
      <c r="AG48" s="435"/>
      <c r="AH48" s="435"/>
      <c r="AI48" s="435"/>
      <c r="AJ48" s="1157"/>
      <c r="AK48" s="1157"/>
      <c r="AL48" s="1157"/>
      <c r="AM48" s="432"/>
      <c r="AN48" s="206"/>
    </row>
    <row r="49" spans="1:53" x14ac:dyDescent="0.2">
      <c r="A49" s="140">
        <f t="shared" si="2"/>
        <v>45</v>
      </c>
      <c r="B49" s="167"/>
      <c r="D49" s="1156"/>
      <c r="E49" s="1156"/>
      <c r="F49" s="1156"/>
      <c r="G49" s="1156"/>
      <c r="H49" s="1156"/>
      <c r="I49" s="1156"/>
      <c r="J49" s="1156"/>
      <c r="K49" s="1156"/>
      <c r="L49" s="1156"/>
      <c r="M49" s="1156"/>
      <c r="N49" s="1156"/>
      <c r="O49" s="1156"/>
      <c r="P49" s="1156"/>
      <c r="Q49" s="1156"/>
      <c r="R49" s="1156"/>
      <c r="S49" s="1156"/>
      <c r="T49" s="6"/>
      <c r="U49" s="448"/>
      <c r="V49" s="483"/>
      <c r="W49" s="435"/>
      <c r="X49" s="435"/>
      <c r="Y49" s="435"/>
      <c r="Z49" s="435"/>
      <c r="AA49" s="435"/>
      <c r="AB49" s="435"/>
      <c r="AC49" s="435"/>
      <c r="AD49" s="435"/>
      <c r="AE49" s="435"/>
      <c r="AF49" s="435"/>
      <c r="AG49" s="435"/>
      <c r="AH49" s="435"/>
      <c r="AI49" s="435"/>
      <c r="AJ49" s="1157"/>
      <c r="AK49" s="1157"/>
      <c r="AL49" s="1157"/>
      <c r="AM49" s="431"/>
      <c r="AN49" s="189"/>
    </row>
    <row r="50" spans="1:53" x14ac:dyDescent="0.2">
      <c r="A50" s="140">
        <f t="shared" si="2"/>
        <v>46</v>
      </c>
      <c r="B50" s="167"/>
      <c r="D50" s="1156"/>
      <c r="E50" s="1156"/>
      <c r="F50" s="1156"/>
      <c r="G50" s="1156"/>
      <c r="H50" s="1156"/>
      <c r="I50" s="1156"/>
      <c r="J50" s="1156"/>
      <c r="K50" s="1156"/>
      <c r="L50" s="1156"/>
      <c r="M50" s="1156"/>
      <c r="N50" s="1156"/>
      <c r="O50" s="1156"/>
      <c r="P50" s="1156"/>
      <c r="Q50" s="1156"/>
      <c r="R50" s="1156"/>
      <c r="S50" s="1156"/>
      <c r="T50" s="6"/>
      <c r="U50" s="448"/>
      <c r="V50" s="483"/>
      <c r="W50" s="435"/>
      <c r="X50" s="435"/>
      <c r="Y50" s="435"/>
      <c r="Z50" s="435"/>
      <c r="AA50" s="435"/>
      <c r="AB50" s="435"/>
      <c r="AC50" s="435"/>
      <c r="AD50" s="435"/>
      <c r="AE50" s="435"/>
      <c r="AF50" s="435"/>
      <c r="AG50" s="435"/>
      <c r="AH50" s="435"/>
      <c r="AI50" s="435"/>
      <c r="AJ50" s="1157"/>
      <c r="AK50" s="1157"/>
      <c r="AL50" s="1157"/>
      <c r="AM50" s="431"/>
      <c r="AN50" s="189"/>
    </row>
    <row r="51" spans="1:53" x14ac:dyDescent="0.2">
      <c r="A51" s="140">
        <f t="shared" si="2"/>
        <v>47</v>
      </c>
      <c r="B51" s="167"/>
      <c r="D51" s="1156"/>
      <c r="E51" s="1156"/>
      <c r="F51" s="1156"/>
      <c r="G51" s="1156"/>
      <c r="H51" s="1156"/>
      <c r="I51" s="1156"/>
      <c r="J51" s="1156"/>
      <c r="K51" s="1156"/>
      <c r="L51" s="1156"/>
      <c r="M51" s="1156"/>
      <c r="N51" s="1156"/>
      <c r="O51" s="1156"/>
      <c r="P51" s="1156"/>
      <c r="Q51" s="1156"/>
      <c r="R51" s="1156"/>
      <c r="S51" s="1156"/>
      <c r="T51" s="6"/>
      <c r="U51" s="448"/>
      <c r="V51" s="483"/>
      <c r="W51" s="435"/>
      <c r="X51" s="435"/>
      <c r="Y51" s="435"/>
      <c r="Z51" s="435"/>
      <c r="AA51" s="435"/>
      <c r="AB51" s="435"/>
      <c r="AC51" s="435"/>
      <c r="AD51" s="435"/>
      <c r="AE51" s="435"/>
      <c r="AF51" s="435"/>
      <c r="AG51" s="435"/>
      <c r="AH51" s="435"/>
      <c r="AI51" s="435"/>
      <c r="AJ51" s="1157"/>
      <c r="AK51" s="1157"/>
      <c r="AL51" s="1157"/>
      <c r="AM51" s="431"/>
      <c r="AN51" s="189"/>
    </row>
    <row r="52" spans="1:53" x14ac:dyDescent="0.2">
      <c r="A52" s="140">
        <f t="shared" si="2"/>
        <v>48</v>
      </c>
      <c r="B52" s="167"/>
      <c r="D52" s="1156"/>
      <c r="E52" s="1156"/>
      <c r="F52" s="1156"/>
      <c r="G52" s="1156"/>
      <c r="H52" s="1156"/>
      <c r="I52" s="1156"/>
      <c r="J52" s="1156"/>
      <c r="K52" s="1156"/>
      <c r="L52" s="1156"/>
      <c r="M52" s="1156"/>
      <c r="N52" s="1156"/>
      <c r="O52" s="1156"/>
      <c r="P52" s="1156"/>
      <c r="Q52" s="1156"/>
      <c r="R52" s="1156"/>
      <c r="S52" s="1156"/>
      <c r="T52" s="6"/>
      <c r="U52" s="448"/>
      <c r="V52" s="483"/>
      <c r="W52" s="435"/>
      <c r="X52" s="435"/>
      <c r="Y52" s="435"/>
      <c r="Z52" s="435"/>
      <c r="AA52" s="435"/>
      <c r="AB52" s="435"/>
      <c r="AC52" s="435"/>
      <c r="AD52" s="435"/>
      <c r="AE52" s="435"/>
      <c r="AF52" s="435"/>
      <c r="AG52" s="435"/>
      <c r="AH52" s="435"/>
      <c r="AI52" s="435"/>
      <c r="AJ52" s="1157"/>
      <c r="AK52" s="1157"/>
      <c r="AL52" s="1157"/>
      <c r="AM52" s="431"/>
      <c r="AN52" s="189"/>
    </row>
    <row r="53" spans="1:53" x14ac:dyDescent="0.2">
      <c r="A53" s="140">
        <f t="shared" si="2"/>
        <v>49</v>
      </c>
      <c r="B53" s="167"/>
      <c r="D53" s="1156"/>
      <c r="E53" s="1156"/>
      <c r="F53" s="1156"/>
      <c r="G53" s="1156"/>
      <c r="H53" s="1156"/>
      <c r="I53" s="1156"/>
      <c r="J53" s="1156"/>
      <c r="K53" s="1156"/>
      <c r="L53" s="1156"/>
      <c r="M53" s="1156"/>
      <c r="N53" s="1156"/>
      <c r="O53" s="1156"/>
      <c r="P53" s="1156"/>
      <c r="Q53" s="1156"/>
      <c r="R53" s="1156"/>
      <c r="S53" s="1156"/>
      <c r="T53" s="6"/>
      <c r="U53" s="448"/>
      <c r="V53" s="484"/>
      <c r="W53" s="435"/>
      <c r="X53" s="435"/>
      <c r="Y53" s="435"/>
      <c r="Z53" s="435"/>
      <c r="AA53" s="435"/>
      <c r="AB53" s="435"/>
      <c r="AC53" s="435"/>
      <c r="AD53" s="435"/>
      <c r="AE53" s="435"/>
      <c r="AF53" s="435"/>
      <c r="AG53" s="435"/>
      <c r="AH53" s="435"/>
      <c r="AI53" s="435"/>
      <c r="AJ53" s="1157"/>
      <c r="AK53" s="1157"/>
      <c r="AL53" s="1157"/>
      <c r="AM53" s="431"/>
      <c r="AN53" s="189"/>
    </row>
    <row r="54" spans="1:53" x14ac:dyDescent="0.2">
      <c r="A54" s="140">
        <f t="shared" si="2"/>
        <v>50</v>
      </c>
      <c r="B54" s="167"/>
      <c r="D54" s="1156"/>
      <c r="E54" s="1156"/>
      <c r="F54" s="1156"/>
      <c r="G54" s="1156"/>
      <c r="H54" s="1156"/>
      <c r="I54" s="1156"/>
      <c r="J54" s="1156"/>
      <c r="K54" s="1156"/>
      <c r="L54" s="1156"/>
      <c r="M54" s="1156"/>
      <c r="N54" s="1156"/>
      <c r="O54" s="1156"/>
      <c r="P54" s="1156"/>
      <c r="Q54" s="1156"/>
      <c r="R54" s="1156"/>
      <c r="S54" s="1156"/>
      <c r="T54" s="684"/>
      <c r="U54" s="448"/>
      <c r="V54" s="471"/>
      <c r="W54" s="435"/>
      <c r="X54" s="435"/>
      <c r="Y54" s="435"/>
      <c r="Z54" s="435"/>
      <c r="AA54" s="435"/>
      <c r="AB54" s="435"/>
      <c r="AC54" s="435"/>
      <c r="AD54" s="435"/>
      <c r="AE54" s="435"/>
      <c r="AF54" s="435"/>
      <c r="AG54" s="435"/>
      <c r="AH54" s="435"/>
      <c r="AI54" s="435"/>
      <c r="AJ54" s="1157"/>
      <c r="AK54" s="1157"/>
      <c r="AL54" s="1157"/>
      <c r="AM54" s="431"/>
      <c r="AN54" s="189"/>
    </row>
    <row r="55" spans="1:53" x14ac:dyDescent="0.2">
      <c r="A55" s="140">
        <f t="shared" si="2"/>
        <v>51</v>
      </c>
      <c r="B55" s="167"/>
      <c r="D55" s="1156"/>
      <c r="E55" s="1156"/>
      <c r="F55" s="1156"/>
      <c r="G55" s="1156"/>
      <c r="H55" s="1156"/>
      <c r="I55" s="1156"/>
      <c r="J55" s="1156"/>
      <c r="K55" s="1156"/>
      <c r="L55" s="1156"/>
      <c r="M55" s="1156"/>
      <c r="N55" s="1156"/>
      <c r="O55" s="1156"/>
      <c r="P55" s="1156"/>
      <c r="Q55" s="1156"/>
      <c r="R55" s="1156"/>
      <c r="S55" s="1156"/>
      <c r="T55" s="6"/>
      <c r="U55" s="448"/>
      <c r="V55" s="484"/>
      <c r="W55" s="435"/>
      <c r="X55" s="435"/>
      <c r="Y55" s="435"/>
      <c r="Z55" s="435"/>
      <c r="AA55" s="435"/>
      <c r="AB55" s="435"/>
      <c r="AC55" s="435"/>
      <c r="AD55" s="435"/>
      <c r="AE55" s="435"/>
      <c r="AF55" s="435"/>
      <c r="AG55" s="435"/>
      <c r="AH55" s="435"/>
      <c r="AI55" s="435"/>
      <c r="AJ55" s="1157"/>
      <c r="AK55" s="1157"/>
      <c r="AL55" s="1157"/>
      <c r="AM55" s="431"/>
      <c r="AN55" s="189"/>
    </row>
    <row r="56" spans="1:53" ht="12.75" customHeight="1" x14ac:dyDescent="0.2">
      <c r="A56" s="140">
        <f t="shared" si="2"/>
        <v>52</v>
      </c>
      <c r="B56" s="171"/>
      <c r="D56" s="1156"/>
      <c r="E56" s="1156"/>
      <c r="F56" s="1156"/>
      <c r="G56" s="1156"/>
      <c r="H56" s="1156"/>
      <c r="I56" s="1156"/>
      <c r="J56" s="1156"/>
      <c r="K56" s="1156"/>
      <c r="L56" s="1156"/>
      <c r="M56" s="1156"/>
      <c r="N56" s="1156"/>
      <c r="O56" s="1156"/>
      <c r="P56" s="1156"/>
      <c r="Q56" s="1156"/>
      <c r="R56" s="1156"/>
      <c r="S56" s="1156"/>
      <c r="T56" s="6"/>
      <c r="U56" s="448"/>
      <c r="V56" s="484"/>
      <c r="W56" s="480"/>
      <c r="X56" s="480"/>
      <c r="Y56" s="480"/>
      <c r="Z56" s="480"/>
      <c r="AA56" s="480"/>
      <c r="AB56" s="480"/>
      <c r="AC56" s="480"/>
      <c r="AD56" s="480"/>
      <c r="AE56" s="480"/>
      <c r="AF56" s="480"/>
      <c r="AG56" s="480"/>
      <c r="AH56" s="504"/>
      <c r="AI56" s="504"/>
      <c r="AJ56" s="1157"/>
      <c r="AK56" s="1157"/>
      <c r="AL56" s="1157"/>
      <c r="AM56" s="431"/>
      <c r="AN56" s="207"/>
    </row>
    <row r="57" spans="1:53" s="23" customFormat="1" ht="13.35" customHeight="1" x14ac:dyDescent="0.2">
      <c r="A57" s="140">
        <f t="shared" si="2"/>
        <v>53</v>
      </c>
      <c r="B57" s="167"/>
      <c r="C57" s="491"/>
      <c r="D57" s="1156"/>
      <c r="E57" s="1156"/>
      <c r="F57" s="1156"/>
      <c r="G57" s="1156"/>
      <c r="H57" s="1156"/>
      <c r="I57" s="1156"/>
      <c r="J57" s="1156"/>
      <c r="K57" s="1156"/>
      <c r="L57" s="1156"/>
      <c r="M57" s="1156"/>
      <c r="N57" s="1156"/>
      <c r="O57" s="1156"/>
      <c r="P57" s="1156"/>
      <c r="Q57" s="1156"/>
      <c r="R57" s="1156"/>
      <c r="S57" s="1156"/>
      <c r="T57" s="504"/>
      <c r="U57" s="686"/>
      <c r="V57" s="484"/>
      <c r="W57" s="481"/>
      <c r="X57" s="481"/>
      <c r="Y57" s="481"/>
      <c r="Z57" s="481"/>
      <c r="AA57" s="481"/>
      <c r="AB57" s="481"/>
      <c r="AC57" s="481"/>
      <c r="AD57" s="481"/>
      <c r="AE57" s="481"/>
      <c r="AF57" s="481"/>
      <c r="AG57" s="481"/>
      <c r="AH57" s="492"/>
      <c r="AI57" s="492"/>
      <c r="AJ57" s="1157"/>
      <c r="AK57" s="1157"/>
      <c r="AL57" s="1157"/>
      <c r="AM57" s="15"/>
      <c r="AN57" s="206"/>
      <c r="AP57" s="466"/>
      <c r="AQ57" s="481"/>
      <c r="AR57" s="481"/>
      <c r="AS57" s="481"/>
      <c r="AT57" s="481"/>
      <c r="AU57" s="481"/>
      <c r="AV57" s="481"/>
      <c r="AW57" s="481"/>
      <c r="AX57" s="481"/>
      <c r="AY57" s="481"/>
      <c r="AZ57" s="481"/>
      <c r="BA57" s="481"/>
    </row>
    <row r="58" spans="1:53" x14ac:dyDescent="0.2">
      <c r="A58" s="140">
        <f t="shared" si="2"/>
        <v>54</v>
      </c>
      <c r="B58" s="167"/>
      <c r="C58" s="452"/>
      <c r="D58" s="1156"/>
      <c r="E58" s="1156"/>
      <c r="F58" s="1156"/>
      <c r="G58" s="1156"/>
      <c r="H58" s="1156"/>
      <c r="I58" s="1156"/>
      <c r="J58" s="1156"/>
      <c r="K58" s="1156"/>
      <c r="L58" s="1156"/>
      <c r="M58" s="1156"/>
      <c r="N58" s="1156"/>
      <c r="O58" s="1156"/>
      <c r="P58" s="1156"/>
      <c r="Q58" s="1156"/>
      <c r="R58" s="1156"/>
      <c r="S58" s="1156"/>
      <c r="T58" s="492"/>
      <c r="U58" s="687"/>
      <c r="V58" s="484"/>
      <c r="W58" s="481"/>
      <c r="X58" s="481"/>
      <c r="Y58" s="481"/>
      <c r="Z58" s="481"/>
      <c r="AA58" s="481"/>
      <c r="AB58" s="481"/>
      <c r="AC58" s="485"/>
      <c r="AE58" s="481"/>
      <c r="AF58" s="481"/>
      <c r="AG58" s="481"/>
      <c r="AH58" s="492"/>
      <c r="AI58" s="492"/>
      <c r="AJ58" s="1157"/>
      <c r="AK58" s="1157"/>
      <c r="AL58" s="1157"/>
      <c r="AM58" s="15"/>
      <c r="AN58" s="189"/>
      <c r="AP58" s="466"/>
      <c r="AQ58" s="481"/>
      <c r="AR58" s="481"/>
      <c r="AS58" s="481"/>
      <c r="AT58" s="481"/>
      <c r="AU58" s="481"/>
      <c r="AV58" s="481"/>
      <c r="AW58" s="481"/>
      <c r="AX58" s="481"/>
      <c r="AY58" s="481"/>
      <c r="AZ58" s="481"/>
      <c r="BA58" s="481"/>
    </row>
    <row r="59" spans="1:53" x14ac:dyDescent="0.2">
      <c r="A59" s="140">
        <f t="shared" si="2"/>
        <v>55</v>
      </c>
      <c r="B59" s="167"/>
      <c r="C59" s="685"/>
      <c r="D59" s="1156"/>
      <c r="E59" s="1156"/>
      <c r="F59" s="1156"/>
      <c r="G59" s="1156"/>
      <c r="H59" s="1156"/>
      <c r="I59" s="1156"/>
      <c r="J59" s="1156"/>
      <c r="K59" s="1156"/>
      <c r="L59" s="1156"/>
      <c r="M59" s="1156"/>
      <c r="N59" s="1156"/>
      <c r="O59" s="1156"/>
      <c r="P59" s="1156"/>
      <c r="Q59" s="1156"/>
      <c r="R59" s="1156"/>
      <c r="S59" s="1156"/>
      <c r="T59" s="492"/>
      <c r="U59" s="687"/>
      <c r="V59" s="475"/>
      <c r="W59" s="481"/>
      <c r="X59" s="481"/>
      <c r="Y59" s="481"/>
      <c r="Z59" s="481"/>
      <c r="AA59" s="481"/>
      <c r="AB59" s="481"/>
      <c r="AC59" s="485"/>
      <c r="AE59" s="481"/>
      <c r="AF59" s="481"/>
      <c r="AG59" s="481"/>
      <c r="AH59" s="492"/>
      <c r="AI59" s="492"/>
      <c r="AJ59" s="1157"/>
      <c r="AK59" s="1157"/>
      <c r="AL59" s="1157"/>
      <c r="AM59" s="15"/>
      <c r="AN59" s="189"/>
      <c r="AP59" s="457"/>
      <c r="AQ59" s="458"/>
    </row>
    <row r="60" spans="1:53" x14ac:dyDescent="0.2">
      <c r="A60" s="140">
        <f t="shared" si="2"/>
        <v>56</v>
      </c>
      <c r="B60" s="167"/>
      <c r="C60" s="685"/>
      <c r="D60" s="1156"/>
      <c r="E60" s="1156"/>
      <c r="F60" s="1156"/>
      <c r="G60" s="1156"/>
      <c r="H60" s="1156"/>
      <c r="I60" s="1156"/>
      <c r="J60" s="1156"/>
      <c r="K60" s="1156"/>
      <c r="L60" s="1156"/>
      <c r="M60" s="1156"/>
      <c r="N60" s="1156"/>
      <c r="O60" s="1156"/>
      <c r="P60" s="1156"/>
      <c r="Q60" s="1156"/>
      <c r="R60" s="1156"/>
      <c r="S60" s="1156"/>
      <c r="T60" s="492"/>
      <c r="U60" s="687"/>
      <c r="V60" s="484"/>
      <c r="W60" s="481"/>
      <c r="X60" s="481"/>
      <c r="Y60" s="481"/>
      <c r="Z60" s="481"/>
      <c r="AA60" s="481"/>
      <c r="AB60" s="481"/>
      <c r="AC60" s="481"/>
      <c r="AD60" s="481"/>
      <c r="AE60" s="481"/>
      <c r="AF60" s="481"/>
      <c r="AG60" s="481"/>
      <c r="AH60" s="492"/>
      <c r="AI60" s="492"/>
      <c r="AJ60" s="1157"/>
      <c r="AK60" s="1157"/>
      <c r="AL60" s="1157"/>
      <c r="AM60" s="15"/>
      <c r="AN60" s="189"/>
      <c r="AP60" s="457"/>
      <c r="AQ60" s="458"/>
    </row>
    <row r="61" spans="1:53" x14ac:dyDescent="0.2">
      <c r="A61" s="140">
        <f t="shared" si="2"/>
        <v>57</v>
      </c>
      <c r="B61" s="167"/>
      <c r="C61" s="113"/>
      <c r="D61" s="1156"/>
      <c r="E61" s="1156"/>
      <c r="F61" s="1156"/>
      <c r="G61" s="1156"/>
      <c r="H61" s="1156"/>
      <c r="I61" s="1156"/>
      <c r="J61" s="1156"/>
      <c r="K61" s="1156"/>
      <c r="L61" s="1156"/>
      <c r="M61" s="1156"/>
      <c r="N61" s="1156"/>
      <c r="O61" s="1156"/>
      <c r="P61" s="1156"/>
      <c r="Q61" s="1156"/>
      <c r="R61" s="1156"/>
      <c r="S61" s="1156"/>
      <c r="T61" s="492"/>
      <c r="U61" s="687"/>
      <c r="AM61" s="15"/>
      <c r="AN61" s="189"/>
      <c r="AP61" s="457"/>
      <c r="AQ61" s="458"/>
    </row>
    <row r="62" spans="1:53" x14ac:dyDescent="0.2">
      <c r="A62" s="140">
        <f t="shared" si="2"/>
        <v>58</v>
      </c>
      <c r="B62" s="167"/>
      <c r="C62" s="113"/>
      <c r="D62" s="1156"/>
      <c r="E62" s="1156"/>
      <c r="F62" s="1156"/>
      <c r="G62" s="1156"/>
      <c r="H62" s="1156"/>
      <c r="I62" s="1156"/>
      <c r="J62" s="1156"/>
      <c r="K62" s="1156"/>
      <c r="L62" s="1156"/>
      <c r="M62" s="1156"/>
      <c r="N62" s="1156"/>
      <c r="O62" s="1156"/>
      <c r="P62" s="1156"/>
      <c r="Q62" s="1156"/>
      <c r="R62" s="1156"/>
      <c r="S62" s="1156"/>
      <c r="T62" s="492"/>
      <c r="U62" s="687"/>
      <c r="V62" s="484"/>
      <c r="W62" s="481"/>
      <c r="X62" s="481"/>
      <c r="Y62" s="481"/>
      <c r="Z62" s="481"/>
      <c r="AA62" s="481"/>
      <c r="AB62" s="481"/>
      <c r="AC62" s="481"/>
      <c r="AD62" s="481"/>
      <c r="AE62" s="481"/>
      <c r="AF62" s="481"/>
      <c r="AG62" s="481"/>
      <c r="AH62" s="481"/>
      <c r="AI62" s="481"/>
      <c r="AJ62" s="490"/>
      <c r="AK62" s="490"/>
      <c r="AL62" s="490"/>
      <c r="AM62" s="15"/>
      <c r="AN62" s="189"/>
      <c r="AP62" s="457"/>
      <c r="AQ62" s="458"/>
    </row>
    <row r="63" spans="1:53" x14ac:dyDescent="0.2">
      <c r="A63" s="140">
        <f t="shared" si="2"/>
        <v>59</v>
      </c>
      <c r="B63" s="167"/>
      <c r="C63" s="113"/>
      <c r="D63" s="1156"/>
      <c r="E63" s="1156"/>
      <c r="F63" s="1156"/>
      <c r="G63" s="1156"/>
      <c r="H63" s="1156"/>
      <c r="I63" s="1156"/>
      <c r="J63" s="1156"/>
      <c r="K63" s="1156"/>
      <c r="L63" s="1156"/>
      <c r="M63" s="1156"/>
      <c r="N63" s="1156"/>
      <c r="O63" s="1156"/>
      <c r="P63" s="1156"/>
      <c r="Q63" s="1156"/>
      <c r="R63" s="1156"/>
      <c r="S63" s="1156"/>
      <c r="T63" s="492"/>
      <c r="U63" s="687"/>
      <c r="V63" s="484"/>
      <c r="W63" s="481"/>
      <c r="X63" s="481"/>
      <c r="Y63" s="481"/>
      <c r="Z63" s="481"/>
      <c r="AA63" s="481"/>
      <c r="AB63" s="481"/>
      <c r="AC63" s="481"/>
      <c r="AD63" s="481"/>
      <c r="AE63" s="481"/>
      <c r="AF63" s="481"/>
      <c r="AG63" s="481"/>
      <c r="AH63" s="481"/>
      <c r="AI63" s="481"/>
      <c r="AJ63" s="490"/>
      <c r="AK63" s="490"/>
      <c r="AL63" s="490"/>
      <c r="AM63" s="15"/>
      <c r="AN63" s="189"/>
      <c r="AP63" s="457"/>
      <c r="AQ63" s="458"/>
    </row>
    <row r="64" spans="1:53" x14ac:dyDescent="0.2">
      <c r="A64" s="140">
        <f t="shared" si="2"/>
        <v>60</v>
      </c>
      <c r="B64" s="167"/>
      <c r="C64" s="113"/>
      <c r="D64" s="1156"/>
      <c r="E64" s="1156"/>
      <c r="F64" s="1156"/>
      <c r="G64" s="1156"/>
      <c r="H64" s="1156"/>
      <c r="I64" s="1156"/>
      <c r="J64" s="1156"/>
      <c r="K64" s="1156"/>
      <c r="L64" s="1156"/>
      <c r="M64" s="1156"/>
      <c r="N64" s="1156"/>
      <c r="O64" s="1156"/>
      <c r="P64" s="1156"/>
      <c r="Q64" s="1156"/>
      <c r="R64" s="1156"/>
      <c r="S64" s="1156"/>
      <c r="T64" s="492"/>
      <c r="U64" s="687"/>
      <c r="V64" s="484"/>
      <c r="W64" s="481"/>
      <c r="X64" s="481"/>
      <c r="Y64" s="481"/>
      <c r="Z64" s="481"/>
      <c r="AA64" s="481"/>
      <c r="AB64" s="481"/>
      <c r="AC64" s="481"/>
      <c r="AD64" s="481"/>
      <c r="AE64" s="481"/>
      <c r="AF64" s="481"/>
      <c r="AG64" s="481"/>
      <c r="AH64" s="481"/>
      <c r="AI64" s="481"/>
      <c r="AJ64" s="490"/>
      <c r="AK64" s="490"/>
      <c r="AL64" s="490"/>
      <c r="AM64" s="15"/>
      <c r="AN64" s="189"/>
      <c r="AP64" s="457"/>
      <c r="AQ64" s="458"/>
    </row>
    <row r="65" spans="1:43" x14ac:dyDescent="0.2">
      <c r="A65" s="140">
        <f t="shared" si="2"/>
        <v>61</v>
      </c>
      <c r="B65" s="167"/>
      <c r="C65" s="113"/>
      <c r="D65" s="1156"/>
      <c r="E65" s="1156"/>
      <c r="F65" s="1156"/>
      <c r="G65" s="1156"/>
      <c r="H65" s="1156"/>
      <c r="I65" s="1156"/>
      <c r="J65" s="1156"/>
      <c r="K65" s="1156"/>
      <c r="L65" s="1156"/>
      <c r="M65" s="1156"/>
      <c r="N65" s="1156"/>
      <c r="O65" s="1156"/>
      <c r="P65" s="1156"/>
      <c r="Q65" s="1156"/>
      <c r="R65" s="1156"/>
      <c r="S65" s="1156"/>
      <c r="T65" s="492"/>
      <c r="U65" s="687"/>
      <c r="V65" s="484"/>
      <c r="W65" s="481"/>
      <c r="X65" s="481"/>
      <c r="Y65" s="481"/>
      <c r="Z65" s="481"/>
      <c r="AA65" s="481"/>
      <c r="AB65" s="481"/>
      <c r="AC65" s="481"/>
      <c r="AD65" s="481"/>
      <c r="AE65" s="481"/>
      <c r="AF65" s="481"/>
      <c r="AG65" s="481"/>
      <c r="AH65" s="481"/>
      <c r="AI65" s="481"/>
      <c r="AJ65" s="490"/>
      <c r="AK65" s="490"/>
      <c r="AL65" s="490"/>
      <c r="AM65" s="15"/>
      <c r="AN65" s="189"/>
      <c r="AP65" s="457"/>
      <c r="AQ65" s="458"/>
    </row>
    <row r="66" spans="1:43" x14ac:dyDescent="0.2">
      <c r="A66" s="140">
        <f t="shared" si="2"/>
        <v>62</v>
      </c>
      <c r="B66" s="167"/>
      <c r="C66" s="113"/>
      <c r="D66" s="1156"/>
      <c r="E66" s="1156"/>
      <c r="F66" s="1156"/>
      <c r="G66" s="1156"/>
      <c r="H66" s="1156"/>
      <c r="I66" s="1156"/>
      <c r="J66" s="1156"/>
      <c r="K66" s="1156"/>
      <c r="L66" s="1156"/>
      <c r="M66" s="1156"/>
      <c r="N66" s="1156"/>
      <c r="O66" s="1156"/>
      <c r="P66" s="1156"/>
      <c r="Q66" s="1156"/>
      <c r="R66" s="1156"/>
      <c r="S66" s="1156"/>
      <c r="T66" s="492"/>
      <c r="U66" s="687"/>
      <c r="V66" s="484"/>
      <c r="W66" s="481"/>
      <c r="X66" s="481"/>
      <c r="Y66" s="481"/>
      <c r="Z66" s="481"/>
      <c r="AA66" s="481"/>
      <c r="AB66" s="481"/>
      <c r="AC66" s="481"/>
      <c r="AD66" s="481"/>
      <c r="AE66" s="481"/>
      <c r="AF66" s="481"/>
      <c r="AG66" s="481"/>
      <c r="AH66" s="481"/>
      <c r="AI66" s="481"/>
      <c r="AJ66" s="490"/>
      <c r="AK66" s="490"/>
      <c r="AL66" s="490"/>
      <c r="AM66" s="15"/>
      <c r="AN66" s="189"/>
      <c r="AP66" s="457"/>
      <c r="AQ66" s="458"/>
    </row>
    <row r="67" spans="1:43" x14ac:dyDescent="0.2">
      <c r="A67" s="140">
        <f t="shared" si="2"/>
        <v>63</v>
      </c>
      <c r="B67" s="167"/>
      <c r="C67" s="113"/>
      <c r="D67" s="1156"/>
      <c r="E67" s="1156"/>
      <c r="F67" s="1156"/>
      <c r="G67" s="1156"/>
      <c r="H67" s="1156"/>
      <c r="I67" s="1156"/>
      <c r="J67" s="1156"/>
      <c r="K67" s="1156"/>
      <c r="L67" s="1156"/>
      <c r="M67" s="1156"/>
      <c r="N67" s="1156"/>
      <c r="O67" s="1156"/>
      <c r="P67" s="1156"/>
      <c r="Q67" s="1156"/>
      <c r="R67" s="1156"/>
      <c r="S67" s="1156"/>
      <c r="T67" s="492"/>
      <c r="U67" s="687"/>
      <c r="V67" s="484"/>
      <c r="W67" s="481"/>
      <c r="X67" s="481"/>
      <c r="Y67" s="481"/>
      <c r="Z67" s="481"/>
      <c r="AA67" s="481"/>
      <c r="AB67" s="481"/>
      <c r="AC67" s="481"/>
      <c r="AD67" s="481"/>
      <c r="AE67" s="481"/>
      <c r="AF67" s="481"/>
      <c r="AG67" s="481"/>
      <c r="AH67" s="481"/>
      <c r="AI67" s="481"/>
      <c r="AJ67" s="490"/>
      <c r="AK67" s="490"/>
      <c r="AL67" s="490"/>
      <c r="AM67" s="15"/>
      <c r="AN67" s="189"/>
      <c r="AP67" s="457"/>
      <c r="AQ67" s="458"/>
    </row>
    <row r="68" spans="1:43" x14ac:dyDescent="0.2">
      <c r="A68" s="140">
        <f t="shared" si="2"/>
        <v>64</v>
      </c>
      <c r="B68" s="167"/>
      <c r="C68" s="113"/>
      <c r="D68" s="1156"/>
      <c r="E68" s="1156"/>
      <c r="F68" s="1156"/>
      <c r="G68" s="1156"/>
      <c r="H68" s="1156"/>
      <c r="I68" s="1156"/>
      <c r="J68" s="1156"/>
      <c r="K68" s="1156"/>
      <c r="L68" s="1156"/>
      <c r="M68" s="1156"/>
      <c r="N68" s="1156"/>
      <c r="O68" s="1156"/>
      <c r="P68" s="1156"/>
      <c r="Q68" s="1156"/>
      <c r="R68" s="1156"/>
      <c r="S68" s="1156"/>
      <c r="T68" s="492"/>
      <c r="U68" s="687"/>
      <c r="V68" s="484"/>
      <c r="W68" s="481"/>
      <c r="X68" s="481"/>
      <c r="Y68" s="481"/>
      <c r="Z68" s="481"/>
      <c r="AA68" s="481"/>
      <c r="AB68" s="481"/>
      <c r="AC68" s="481"/>
      <c r="AD68" s="481"/>
      <c r="AE68" s="481"/>
      <c r="AF68" s="481"/>
      <c r="AG68" s="481"/>
      <c r="AH68" s="481"/>
      <c r="AI68" s="481"/>
      <c r="AJ68" s="490"/>
      <c r="AK68" s="490"/>
      <c r="AL68" s="490"/>
      <c r="AM68" s="15"/>
      <c r="AN68" s="189"/>
      <c r="AP68" s="457"/>
      <c r="AQ68" s="458"/>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8"/>
      <c r="V69" s="18"/>
      <c r="W69" s="18"/>
      <c r="X69" s="18"/>
      <c r="Y69" s="18"/>
      <c r="Z69" s="18"/>
      <c r="AA69" s="18"/>
      <c r="AB69" s="18"/>
      <c r="AC69" s="18"/>
      <c r="AD69" s="18"/>
      <c r="AE69" s="18"/>
      <c r="AF69" s="18"/>
      <c r="AG69" s="18"/>
      <c r="AH69" s="18"/>
      <c r="AI69" s="18"/>
      <c r="AJ69" s="18"/>
      <c r="AK69" s="18"/>
      <c r="AL69" s="18"/>
      <c r="AM69" s="11"/>
      <c r="AN69" s="188"/>
      <c r="AP69" s="461"/>
      <c r="AQ69" s="458"/>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59"/>
      <c r="AQ70" s="462"/>
    </row>
    <row r="71" spans="1:43" ht="12.75" customHeight="1" x14ac:dyDescent="0.2">
      <c r="A71" s="100"/>
      <c r="B71" s="112"/>
      <c r="C71" s="104" t="s">
        <v>12</v>
      </c>
      <c r="D71" s="104"/>
      <c r="E71" s="104"/>
      <c r="F71" s="104"/>
      <c r="G71" s="104"/>
      <c r="H71" s="104"/>
      <c r="I71" s="1150"/>
      <c r="J71" s="1150"/>
      <c r="K71" s="1150"/>
      <c r="L71" s="1150"/>
      <c r="M71" s="1150"/>
      <c r="N71" s="1150"/>
      <c r="O71" s="1150"/>
      <c r="P71" s="1150"/>
      <c r="Q71" s="1150"/>
      <c r="R71" s="1150"/>
      <c r="S71" s="1150"/>
      <c r="T71" s="1150"/>
      <c r="W71" s="104" t="s">
        <v>48</v>
      </c>
      <c r="X71" s="104"/>
      <c r="Y71" s="1114"/>
      <c r="Z71" s="1114"/>
      <c r="AE71" s="292" t="s">
        <v>271</v>
      </c>
      <c r="AF71" s="292"/>
      <c r="AG71" s="292"/>
      <c r="AH71" s="1113"/>
      <c r="AI71" s="1113"/>
      <c r="AJ71" s="258" t="s">
        <v>269</v>
      </c>
      <c r="AK71" s="1101" t="str">
        <f>IF(C_PageNo_Total=0,"",C_PageNo_Total)</f>
        <v/>
      </c>
      <c r="AL71" s="1101"/>
      <c r="AM71" s="291"/>
      <c r="AN71" s="290"/>
      <c r="AP71" s="459"/>
      <c r="AQ71" s="462"/>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59"/>
      <c r="AQ72" s="458"/>
    </row>
    <row r="73" spans="1:43" ht="12.75" customHeight="1" x14ac:dyDescent="0.2">
      <c r="AP73" s="461"/>
      <c r="AQ73" s="458"/>
    </row>
    <row r="74" spans="1:43" x14ac:dyDescent="0.2">
      <c r="AP74" s="459"/>
      <c r="AQ74" s="458"/>
    </row>
    <row r="75" spans="1:43" x14ac:dyDescent="0.2">
      <c r="AP75" s="459"/>
      <c r="AQ75" s="458"/>
    </row>
    <row r="76" spans="1:43" x14ac:dyDescent="0.2">
      <c r="AP76" s="459"/>
      <c r="AQ76" s="458"/>
    </row>
    <row r="77" spans="1:43" x14ac:dyDescent="0.2">
      <c r="AP77" s="463"/>
      <c r="AQ77" s="458"/>
    </row>
    <row r="78" spans="1:43" x14ac:dyDescent="0.2">
      <c r="AP78" s="463"/>
      <c r="AQ78" s="458"/>
    </row>
    <row r="79" spans="1:43" x14ac:dyDescent="0.2">
      <c r="AP79" s="463"/>
      <c r="AQ79" s="458"/>
    </row>
    <row r="80" spans="1:43" x14ac:dyDescent="0.2">
      <c r="AP80" s="463"/>
      <c r="AQ80" s="458"/>
    </row>
    <row r="81" spans="42:43" x14ac:dyDescent="0.2">
      <c r="AP81" s="463"/>
      <c r="AQ81" s="458"/>
    </row>
    <row r="82" spans="42:43" x14ac:dyDescent="0.2">
      <c r="AP82" s="463"/>
      <c r="AQ82" s="458"/>
    </row>
    <row r="83" spans="42:43" x14ac:dyDescent="0.2">
      <c r="AP83" s="459"/>
      <c r="AQ83" s="458"/>
    </row>
    <row r="84" spans="42:43" x14ac:dyDescent="0.2">
      <c r="AP84" s="461"/>
      <c r="AQ84" s="458"/>
    </row>
    <row r="85" spans="42:43" x14ac:dyDescent="0.2">
      <c r="AP85" s="459"/>
      <c r="AQ85" s="458"/>
    </row>
    <row r="86" spans="42:43" x14ac:dyDescent="0.2">
      <c r="AP86" s="459"/>
      <c r="AQ86" s="458"/>
    </row>
    <row r="87" spans="42:43" x14ac:dyDescent="0.2">
      <c r="AP87" s="459"/>
      <c r="AQ87" s="458"/>
    </row>
    <row r="88" spans="42:43" x14ac:dyDescent="0.2">
      <c r="AP88" s="459"/>
      <c r="AQ88" s="458"/>
    </row>
    <row r="89" spans="42:43" x14ac:dyDescent="0.2">
      <c r="AP89" s="459"/>
      <c r="AQ89" s="458"/>
    </row>
    <row r="90" spans="42:43" x14ac:dyDescent="0.2">
      <c r="AP90" s="459"/>
      <c r="AQ90" s="458"/>
    </row>
    <row r="91" spans="42:43" x14ac:dyDescent="0.2">
      <c r="AP91" s="459"/>
      <c r="AQ91" s="458"/>
    </row>
    <row r="92" spans="42:43" x14ac:dyDescent="0.2">
      <c r="AP92" s="459"/>
      <c r="AQ92" s="458"/>
    </row>
    <row r="93" spans="42:43" x14ac:dyDescent="0.2">
      <c r="AP93" s="459"/>
      <c r="AQ93" s="458"/>
    </row>
    <row r="94" spans="42:43" x14ac:dyDescent="0.2">
      <c r="AP94" s="459"/>
      <c r="AQ94" s="458"/>
    </row>
    <row r="95" spans="42:43" x14ac:dyDescent="0.2">
      <c r="AP95" s="459"/>
      <c r="AQ95" s="458"/>
    </row>
    <row r="96" spans="42:43" x14ac:dyDescent="0.2">
      <c r="AP96" s="464"/>
      <c r="AQ96" s="458"/>
    </row>
    <row r="97" spans="42:43" x14ac:dyDescent="0.2">
      <c r="AP97" s="465"/>
      <c r="AQ97" s="458"/>
    </row>
    <row r="98" spans="42:43" x14ac:dyDescent="0.2">
      <c r="AP98" s="465"/>
      <c r="AQ98" s="458"/>
    </row>
    <row r="99" spans="42:43" x14ac:dyDescent="0.2">
      <c r="AP99" s="457"/>
      <c r="AQ99" s="458"/>
    </row>
    <row r="100" spans="42:43" x14ac:dyDescent="0.2">
      <c r="AP100" s="460"/>
      <c r="AQ100" s="458"/>
    </row>
    <row r="101" spans="42:43" x14ac:dyDescent="0.2">
      <c r="AP101" s="460"/>
      <c r="AQ101" s="458"/>
    </row>
    <row r="102" spans="42:43" x14ac:dyDescent="0.2">
      <c r="AP102" s="460"/>
      <c r="AQ102" s="458"/>
    </row>
    <row r="103" spans="42:43" x14ac:dyDescent="0.2">
      <c r="AP103" s="460"/>
      <c r="AQ103" s="458"/>
    </row>
    <row r="104" spans="42:43" x14ac:dyDescent="0.2">
      <c r="AP104" s="460"/>
      <c r="AQ104" s="458"/>
    </row>
    <row r="105" spans="42:43" x14ac:dyDescent="0.2">
      <c r="AP105" s="460"/>
      <c r="AQ105" s="458"/>
    </row>
    <row r="106" spans="42:43" x14ac:dyDescent="0.2">
      <c r="AP106" s="457"/>
      <c r="AQ106" s="458"/>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2"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1"/>
      <c r="X1" s="602"/>
      <c r="Y1" s="602"/>
      <c r="Z1" s="602"/>
      <c r="AA1" s="602"/>
      <c r="AB1" s="602"/>
      <c r="AC1" s="603"/>
      <c r="AD1" s="141"/>
      <c r="AE1" s="141"/>
      <c r="AF1" s="602"/>
      <c r="AG1" s="602"/>
      <c r="AH1" s="602"/>
      <c r="AI1" s="602"/>
      <c r="AJ1" s="602"/>
      <c r="AK1" s="602"/>
      <c r="AL1" s="604"/>
      <c r="AM1" s="41"/>
      <c r="AN1" s="605"/>
    </row>
    <row r="2" spans="1:43" ht="13.35" customHeight="1" x14ac:dyDescent="0.2">
      <c r="A2" s="606"/>
      <c r="B2" s="607"/>
      <c r="C2" s="42"/>
      <c r="D2" s="42"/>
      <c r="E2" s="96" t="s">
        <v>13</v>
      </c>
      <c r="F2" s="42"/>
      <c r="G2" s="42"/>
      <c r="H2" s="42"/>
      <c r="I2" s="42"/>
      <c r="J2" s="42"/>
      <c r="K2" s="42"/>
      <c r="L2" s="42"/>
      <c r="M2" s="42"/>
      <c r="N2" s="42"/>
      <c r="O2" s="42"/>
      <c r="P2" s="42"/>
      <c r="Q2" s="42"/>
      <c r="R2" s="42"/>
      <c r="S2" s="42"/>
      <c r="T2" s="97"/>
      <c r="U2" s="142"/>
      <c r="V2" s="142"/>
      <c r="W2" s="608"/>
      <c r="X2" s="608"/>
      <c r="Y2" s="97"/>
      <c r="Z2" s="97"/>
      <c r="AA2" s="609"/>
      <c r="AB2" s="609"/>
      <c r="AC2" s="97"/>
      <c r="AD2" s="609"/>
      <c r="AE2" s="609"/>
      <c r="AF2" s="609"/>
      <c r="AG2" s="609"/>
      <c r="AH2" s="609"/>
      <c r="AI2" s="609"/>
      <c r="AJ2" s="609"/>
      <c r="AK2" s="609"/>
      <c r="AL2" s="609"/>
      <c r="AM2" s="99"/>
      <c r="AN2" s="610"/>
    </row>
    <row r="3" spans="1:43" ht="9" customHeight="1" x14ac:dyDescent="0.2">
      <c r="A3" s="606"/>
      <c r="B3" s="6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1"/>
    </row>
    <row r="4" spans="1:43" x14ac:dyDescent="0.2">
      <c r="A4" s="612">
        <v>1</v>
      </c>
      <c r="B4" s="613" t="s">
        <v>182</v>
      </c>
      <c r="C4" s="1088" t="s">
        <v>70</v>
      </c>
      <c r="D4" s="1129"/>
      <c r="E4" s="1129"/>
      <c r="F4" s="1129"/>
      <c r="G4" s="1129"/>
      <c r="H4" s="1129"/>
      <c r="I4" s="1129"/>
      <c r="J4" s="1129"/>
      <c r="K4" s="1129"/>
      <c r="L4" s="1129"/>
      <c r="M4" s="1129"/>
      <c r="N4" s="1129"/>
      <c r="O4" s="1129"/>
      <c r="P4" s="1129"/>
      <c r="Q4" s="1129"/>
      <c r="R4" s="1129"/>
      <c r="S4" s="1129"/>
      <c r="T4" s="1130"/>
      <c r="U4" s="1175" t="s">
        <v>548</v>
      </c>
      <c r="V4" s="1176"/>
      <c r="W4" s="1176"/>
      <c r="X4" s="1176"/>
      <c r="Y4" s="1176"/>
      <c r="Z4" s="1176"/>
      <c r="AA4" s="1176"/>
      <c r="AB4" s="1176"/>
      <c r="AC4" s="1176"/>
      <c r="AD4" s="1176"/>
      <c r="AE4" s="1176"/>
      <c r="AF4" s="1176"/>
      <c r="AG4" s="1176"/>
      <c r="AH4" s="1176"/>
      <c r="AI4" s="1176"/>
      <c r="AJ4" s="1176"/>
      <c r="AK4" s="1176"/>
      <c r="AL4" s="1176"/>
      <c r="AM4" s="1177"/>
      <c r="AN4" s="614" t="s">
        <v>7</v>
      </c>
      <c r="AP4" s="458"/>
    </row>
    <row r="5" spans="1:43" x14ac:dyDescent="0.2">
      <c r="A5" s="615">
        <f t="shared" ref="A5:A22" si="0">A4+1</f>
        <v>2</v>
      </c>
      <c r="B5" s="566"/>
      <c r="C5" s="594" t="s">
        <v>645</v>
      </c>
      <c r="D5" s="227"/>
      <c r="E5" s="227"/>
      <c r="F5" s="227"/>
      <c r="G5" s="227"/>
      <c r="H5" s="227"/>
      <c r="I5" s="227"/>
      <c r="J5" s="227"/>
      <c r="K5" s="227"/>
      <c r="L5" s="227"/>
      <c r="M5" s="227"/>
      <c r="N5" s="227"/>
      <c r="O5" s="227"/>
      <c r="P5" s="227"/>
      <c r="Q5" s="468"/>
      <c r="R5" s="1166"/>
      <c r="S5" s="1166"/>
      <c r="T5" s="616"/>
      <c r="U5" s="226"/>
      <c r="V5" s="466" t="s">
        <v>771</v>
      </c>
      <c r="W5" s="226"/>
      <c r="X5" s="143"/>
      <c r="Y5" s="143"/>
      <c r="Z5" s="143"/>
      <c r="AA5" s="143"/>
      <c r="AB5" s="143"/>
      <c r="AC5" s="143"/>
      <c r="AD5" s="143"/>
      <c r="AE5" s="143"/>
      <c r="AF5" s="226"/>
      <c r="AG5" s="228"/>
      <c r="AH5" s="226"/>
      <c r="AI5" s="477"/>
      <c r="AJ5" s="477"/>
      <c r="AK5" s="1178"/>
      <c r="AL5" s="1178"/>
      <c r="AM5" s="15"/>
      <c r="AN5" s="610"/>
      <c r="AP5" s="449"/>
      <c r="AQ5" s="133"/>
    </row>
    <row r="6" spans="1:43" x14ac:dyDescent="0.2">
      <c r="A6" s="615">
        <f t="shared" si="0"/>
        <v>3</v>
      </c>
      <c r="B6" s="617"/>
      <c r="C6" s="594" t="s">
        <v>646</v>
      </c>
      <c r="D6" s="233"/>
      <c r="E6" s="227"/>
      <c r="F6" s="227"/>
      <c r="G6" s="227"/>
      <c r="H6" s="227"/>
      <c r="I6" s="227"/>
      <c r="J6" s="227"/>
      <c r="K6" s="227"/>
      <c r="L6" s="227"/>
      <c r="M6" s="227"/>
      <c r="N6" s="227"/>
      <c r="O6" s="227"/>
      <c r="P6" s="227"/>
      <c r="Q6" s="469"/>
      <c r="R6" s="1166"/>
      <c r="S6" s="1166"/>
      <c r="T6" s="618"/>
      <c r="U6" s="619"/>
      <c r="V6" s="466" t="s">
        <v>549</v>
      </c>
      <c r="W6" s="619"/>
      <c r="X6" s="619"/>
      <c r="Y6" s="620"/>
      <c r="Z6" s="620"/>
      <c r="AA6" s="620"/>
      <c r="AB6" s="620"/>
      <c r="AC6" s="620"/>
      <c r="AD6" s="620"/>
      <c r="AE6" s="620"/>
      <c r="AF6" s="226"/>
      <c r="AG6" s="228"/>
      <c r="AH6" s="226"/>
      <c r="AI6" s="455"/>
      <c r="AJ6" s="455"/>
      <c r="AK6" s="1179"/>
      <c r="AL6" s="1179"/>
      <c r="AM6" s="15"/>
      <c r="AN6" s="621"/>
      <c r="AP6" s="449"/>
      <c r="AQ6" s="133"/>
    </row>
    <row r="7" spans="1:43" x14ac:dyDescent="0.2">
      <c r="A7" s="615">
        <f t="shared" si="0"/>
        <v>4</v>
      </c>
      <c r="B7" s="617"/>
      <c r="C7" s="594" t="s">
        <v>647</v>
      </c>
      <c r="D7" s="233"/>
      <c r="E7" s="227"/>
      <c r="F7" s="227"/>
      <c r="G7" s="227"/>
      <c r="H7" s="227"/>
      <c r="I7" s="1044"/>
      <c r="J7" s="1044"/>
      <c r="K7" s="1044"/>
      <c r="L7" s="1044"/>
      <c r="M7" s="1044"/>
      <c r="N7" s="1044"/>
      <c r="O7" s="1044"/>
      <c r="P7" s="1044"/>
      <c r="Q7" s="1044"/>
      <c r="R7" s="1044"/>
      <c r="S7" s="1044"/>
      <c r="T7" s="622"/>
      <c r="U7" s="226"/>
      <c r="V7" s="226" t="s">
        <v>550</v>
      </c>
      <c r="W7" s="226"/>
      <c r="X7" s="143"/>
      <c r="Y7" s="143"/>
      <c r="Z7" s="143"/>
      <c r="AA7" s="143"/>
      <c r="AB7" s="143"/>
      <c r="AC7" s="143"/>
      <c r="AD7" s="143"/>
      <c r="AE7" s="468"/>
      <c r="AF7" s="226"/>
      <c r="AG7" s="228"/>
      <c r="AH7" s="226"/>
      <c r="AI7" s="455"/>
      <c r="AJ7" s="455"/>
      <c r="AK7" s="1166"/>
      <c r="AL7" s="1166"/>
      <c r="AM7" s="15"/>
      <c r="AN7" s="621"/>
      <c r="AP7" s="449"/>
      <c r="AQ7" s="133"/>
    </row>
    <row r="8" spans="1:43" ht="13.35" customHeight="1" x14ac:dyDescent="0.2">
      <c r="A8" s="615">
        <f t="shared" si="0"/>
        <v>5</v>
      </c>
      <c r="B8" s="617"/>
      <c r="C8" s="229"/>
      <c r="D8" s="233"/>
      <c r="E8" s="227"/>
      <c r="F8" s="227"/>
      <c r="G8" s="227"/>
      <c r="H8" s="227"/>
      <c r="I8" s="227"/>
      <c r="J8" s="227"/>
      <c r="K8" s="227"/>
      <c r="L8" s="227"/>
      <c r="M8" s="472"/>
      <c r="N8" s="472"/>
      <c r="O8" s="472"/>
      <c r="P8" s="472"/>
      <c r="Q8" s="468"/>
      <c r="R8" s="468"/>
      <c r="S8" s="468"/>
      <c r="T8" s="622"/>
      <c r="U8" s="12"/>
      <c r="V8" s="466" t="s">
        <v>836</v>
      </c>
      <c r="W8" s="444"/>
      <c r="X8" s="143"/>
      <c r="Y8" s="143"/>
      <c r="Z8" s="143"/>
      <c r="AA8" s="143"/>
      <c r="AB8" s="143"/>
      <c r="AC8" s="143"/>
      <c r="AD8" s="143"/>
      <c r="AE8" s="468"/>
      <c r="AF8" s="226"/>
      <c r="AG8" s="458"/>
      <c r="AH8" s="226"/>
      <c r="AI8" s="455"/>
      <c r="AJ8" s="455"/>
      <c r="AK8" s="1182"/>
      <c r="AL8" s="1182"/>
      <c r="AM8" s="15"/>
      <c r="AN8" s="621"/>
      <c r="AP8" s="449"/>
    </row>
    <row r="9" spans="1:43" x14ac:dyDescent="0.2">
      <c r="A9" s="615">
        <f t="shared" si="0"/>
        <v>6</v>
      </c>
      <c r="B9" s="617"/>
      <c r="C9" s="488" t="s">
        <v>648</v>
      </c>
      <c r="D9" s="226"/>
      <c r="E9" s="623"/>
      <c r="F9" s="227"/>
      <c r="G9" s="227"/>
      <c r="H9" s="227"/>
      <c r="I9" s="227"/>
      <c r="J9" s="227"/>
      <c r="K9" s="227"/>
      <c r="L9" s="624"/>
      <c r="M9" s="1157"/>
      <c r="N9" s="1157"/>
      <c r="O9" s="1157"/>
      <c r="P9" s="1157"/>
      <c r="Q9" s="1157"/>
      <c r="R9" s="1157"/>
      <c r="S9" s="1157"/>
      <c r="T9" s="622"/>
      <c r="U9" s="115"/>
      <c r="V9" s="466" t="s">
        <v>525</v>
      </c>
      <c r="W9" s="467"/>
      <c r="X9" s="467"/>
      <c r="Y9" s="625"/>
      <c r="Z9" s="469"/>
      <c r="AA9" s="469"/>
      <c r="AB9" s="469"/>
      <c r="AC9" s="626"/>
      <c r="AD9" s="626"/>
      <c r="AE9" s="626"/>
      <c r="AF9" s="469"/>
      <c r="AG9" s="471" t="s">
        <v>526</v>
      </c>
      <c r="AH9" s="228"/>
      <c r="AI9" s="627"/>
      <c r="AJ9" s="476"/>
      <c r="AK9" s="1182"/>
      <c r="AL9" s="1182"/>
      <c r="AM9" s="27"/>
      <c r="AN9" s="621"/>
      <c r="AP9" s="449"/>
    </row>
    <row r="10" spans="1:43" x14ac:dyDescent="0.2">
      <c r="A10" s="615">
        <f t="shared" si="0"/>
        <v>7</v>
      </c>
      <c r="B10" s="617"/>
      <c r="C10" s="594" t="s">
        <v>649</v>
      </c>
      <c r="D10" s="233"/>
      <c r="E10" s="628"/>
      <c r="F10" s="226"/>
      <c r="G10" s="226"/>
      <c r="H10" s="226"/>
      <c r="I10" s="226"/>
      <c r="J10" s="226"/>
      <c r="K10" s="226"/>
      <c r="L10" s="1084"/>
      <c r="M10" s="1084"/>
      <c r="N10" s="1084"/>
      <c r="O10" s="1084"/>
      <c r="P10" s="1084"/>
      <c r="Q10" s="1084"/>
      <c r="R10" s="1084"/>
      <c r="S10" s="1084"/>
      <c r="T10" s="234"/>
      <c r="U10" s="227"/>
      <c r="V10" s="468"/>
      <c r="W10" s="143"/>
      <c r="X10" s="469"/>
      <c r="Y10" s="469"/>
      <c r="Z10" s="469"/>
      <c r="AA10" s="469"/>
      <c r="AB10" s="226"/>
      <c r="AC10" s="226"/>
      <c r="AD10" s="226" t="s">
        <v>741</v>
      </c>
      <c r="AE10" s="226"/>
      <c r="AF10" s="226"/>
      <c r="AG10" s="471" t="s">
        <v>527</v>
      </c>
      <c r="AH10" s="226"/>
      <c r="AI10" s="455"/>
      <c r="AJ10" s="455"/>
      <c r="AK10" s="1166"/>
      <c r="AL10" s="1166"/>
      <c r="AM10" s="15"/>
      <c r="AN10" s="621"/>
      <c r="AP10" s="449"/>
    </row>
    <row r="11" spans="1:43" x14ac:dyDescent="0.2">
      <c r="A11" s="615">
        <f t="shared" si="0"/>
        <v>8</v>
      </c>
      <c r="B11" s="617"/>
      <c r="C11" s="594" t="s">
        <v>650</v>
      </c>
      <c r="D11" s="226"/>
      <c r="E11" s="226"/>
      <c r="F11" s="227"/>
      <c r="G11" s="227"/>
      <c r="H11" s="227"/>
      <c r="I11" s="227"/>
      <c r="J11" s="227"/>
      <c r="K11" s="227"/>
      <c r="L11" s="1084"/>
      <c r="M11" s="1084"/>
      <c r="N11" s="1084"/>
      <c r="O11" s="1084"/>
      <c r="P11" s="1084"/>
      <c r="Q11" s="1084"/>
      <c r="R11" s="1084"/>
      <c r="S11" s="1084"/>
      <c r="T11" s="622"/>
      <c r="U11" s="28"/>
      <c r="V11" s="468"/>
      <c r="W11" s="143"/>
      <c r="X11" s="143"/>
      <c r="Y11" s="143"/>
      <c r="Z11" s="143"/>
      <c r="AA11" s="630"/>
      <c r="AB11" s="226"/>
      <c r="AC11" s="226"/>
      <c r="AD11" s="226"/>
      <c r="AE11" s="226"/>
      <c r="AF11" s="226"/>
      <c r="AG11" s="471" t="s">
        <v>528</v>
      </c>
      <c r="AH11" s="631"/>
      <c r="AI11" s="455"/>
      <c r="AJ11" s="455"/>
      <c r="AK11" s="1166"/>
      <c r="AL11" s="1166"/>
      <c r="AM11" s="15"/>
      <c r="AN11" s="621"/>
      <c r="AP11" s="449"/>
    </row>
    <row r="12" spans="1:43" x14ac:dyDescent="0.2">
      <c r="A12" s="615">
        <f t="shared" si="0"/>
        <v>9</v>
      </c>
      <c r="B12" s="617"/>
      <c r="C12" s="594" t="s">
        <v>651</v>
      </c>
      <c r="D12" s="629"/>
      <c r="E12" s="629"/>
      <c r="F12" s="629"/>
      <c r="G12" s="629"/>
      <c r="H12" s="629"/>
      <c r="I12" s="629"/>
      <c r="J12" s="629"/>
      <c r="K12" s="629"/>
      <c r="L12" s="1084"/>
      <c r="M12" s="1084"/>
      <c r="N12" s="1084"/>
      <c r="O12" s="1084"/>
      <c r="P12" s="1084"/>
      <c r="Q12" s="1084"/>
      <c r="R12" s="1084"/>
      <c r="S12" s="1084"/>
      <c r="T12" s="622"/>
      <c r="U12" s="12"/>
      <c r="V12" s="468"/>
      <c r="W12" s="143"/>
      <c r="X12" s="143"/>
      <c r="Y12" s="143"/>
      <c r="Z12" s="143"/>
      <c r="AA12" s="143"/>
      <c r="AB12" s="226"/>
      <c r="AC12" s="226"/>
      <c r="AD12" s="226"/>
      <c r="AE12" s="226"/>
      <c r="AF12" s="226"/>
      <c r="AG12" s="471" t="s">
        <v>209</v>
      </c>
      <c r="AH12" s="631"/>
      <c r="AI12" s="455"/>
      <c r="AJ12" s="455"/>
      <c r="AK12" s="1166"/>
      <c r="AL12" s="1166"/>
      <c r="AM12" s="15"/>
      <c r="AN12" s="621"/>
      <c r="AP12" s="449"/>
    </row>
    <row r="13" spans="1:43" x14ac:dyDescent="0.2">
      <c r="A13" s="615">
        <f t="shared" si="0"/>
        <v>10</v>
      </c>
      <c r="B13" s="617"/>
      <c r="C13" s="632"/>
      <c r="D13" s="233"/>
      <c r="E13" s="227"/>
      <c r="F13" s="227"/>
      <c r="G13" s="227"/>
      <c r="H13" s="227"/>
      <c r="I13" s="227"/>
      <c r="J13" s="227"/>
      <c r="K13" s="227"/>
      <c r="L13" s="227"/>
      <c r="M13" s="472"/>
      <c r="N13" s="472"/>
      <c r="O13" s="472"/>
      <c r="P13" s="472"/>
      <c r="Q13" s="472"/>
      <c r="R13" s="472"/>
      <c r="S13" s="468"/>
      <c r="T13" s="99"/>
      <c r="U13" s="114"/>
      <c r="V13" s="466" t="s">
        <v>551</v>
      </c>
      <c r="W13" s="143"/>
      <c r="X13" s="469"/>
      <c r="Y13" s="469"/>
      <c r="Z13" s="469"/>
      <c r="AA13" s="469"/>
      <c r="AB13" s="226"/>
      <c r="AC13" s="226"/>
      <c r="AD13" s="226"/>
      <c r="AE13" s="226"/>
      <c r="AF13" s="226"/>
      <c r="AG13" s="633"/>
      <c r="AH13" s="631"/>
      <c r="AI13" s="455"/>
      <c r="AJ13" s="455"/>
      <c r="AK13" s="1182"/>
      <c r="AL13" s="1182"/>
      <c r="AM13" s="15"/>
      <c r="AN13" s="621"/>
      <c r="AP13" s="449"/>
    </row>
    <row r="14" spans="1:43" x14ac:dyDescent="0.2">
      <c r="A14" s="615"/>
      <c r="B14" s="617"/>
      <c r="C14" s="488" t="s">
        <v>691</v>
      </c>
      <c r="D14" s="233"/>
      <c r="E14" s="623"/>
      <c r="F14" s="227"/>
      <c r="G14" s="227"/>
      <c r="H14" s="227"/>
      <c r="I14" s="227"/>
      <c r="J14" s="227"/>
      <c r="K14" s="624"/>
      <c r="L14" s="624"/>
      <c r="M14" s="1180"/>
      <c r="N14" s="1180"/>
      <c r="O14" s="1180"/>
      <c r="P14" s="1180"/>
      <c r="Q14" s="1180"/>
      <c r="R14" s="1180"/>
      <c r="S14" s="1180"/>
      <c r="T14" s="99"/>
      <c r="U14" s="114"/>
      <c r="V14" s="466"/>
      <c r="W14" s="143" t="s">
        <v>745</v>
      </c>
      <c r="X14" s="469"/>
      <c r="Y14" s="469"/>
      <c r="Z14" s="469" t="s">
        <v>746</v>
      </c>
      <c r="AA14" s="469"/>
      <c r="AB14" s="226"/>
      <c r="AC14" s="226"/>
      <c r="AD14" s="226"/>
      <c r="AE14" s="226"/>
      <c r="AF14" s="226"/>
      <c r="AG14" s="633"/>
      <c r="AH14" s="631"/>
      <c r="AI14" s="455"/>
      <c r="AJ14" s="455"/>
      <c r="AK14" s="841"/>
      <c r="AL14" s="841"/>
      <c r="AM14" s="15"/>
      <c r="AN14" s="621"/>
      <c r="AP14" s="449"/>
    </row>
    <row r="15" spans="1:43" x14ac:dyDescent="0.2">
      <c r="A15" s="615">
        <f>A13+1</f>
        <v>11</v>
      </c>
      <c r="B15" s="617"/>
      <c r="C15" s="594" t="s">
        <v>652</v>
      </c>
      <c r="D15" s="233"/>
      <c r="E15" s="623"/>
      <c r="F15" s="468"/>
      <c r="G15" s="468"/>
      <c r="H15" s="468"/>
      <c r="I15" s="468"/>
      <c r="J15" s="468"/>
      <c r="K15" s="634"/>
      <c r="L15" s="634"/>
      <c r="M15" s="696"/>
      <c r="N15" s="1181"/>
      <c r="O15" s="1181"/>
      <c r="P15" s="1181"/>
      <c r="Q15" s="1181"/>
      <c r="R15" s="1181"/>
      <c r="S15" s="1181"/>
      <c r="T15" s="622"/>
      <c r="U15" s="114"/>
      <c r="V15" s="466" t="s">
        <v>781</v>
      </c>
      <c r="W15" s="143"/>
      <c r="X15" s="143"/>
      <c r="Y15" s="143"/>
      <c r="Z15" s="143"/>
      <c r="AA15" s="143"/>
      <c r="AB15" s="226"/>
      <c r="AC15" s="226"/>
      <c r="AD15" s="226"/>
      <c r="AE15" s="226"/>
      <c r="AF15" s="226"/>
      <c r="AG15" s="633"/>
      <c r="AH15" s="631"/>
      <c r="AI15" s="455"/>
      <c r="AJ15" s="455"/>
      <c r="AK15" s="455"/>
      <c r="AL15" s="455"/>
      <c r="AM15" s="15"/>
      <c r="AN15" s="621"/>
      <c r="AP15" s="449"/>
    </row>
    <row r="16" spans="1:43" x14ac:dyDescent="0.2">
      <c r="A16" s="615">
        <f t="shared" si="0"/>
        <v>12</v>
      </c>
      <c r="B16" s="617"/>
      <c r="C16" s="594" t="s">
        <v>653</v>
      </c>
      <c r="D16" s="233"/>
      <c r="E16" s="628"/>
      <c r="F16" s="227"/>
      <c r="G16" s="227"/>
      <c r="H16" s="227"/>
      <c r="I16" s="227"/>
      <c r="J16" s="227"/>
      <c r="K16" s="227"/>
      <c r="L16" s="624"/>
      <c r="M16" s="673"/>
      <c r="N16" s="1181"/>
      <c r="O16" s="1181"/>
      <c r="P16" s="1181"/>
      <c r="Q16" s="1181"/>
      <c r="R16" s="1181"/>
      <c r="S16" s="1181"/>
      <c r="T16" s="419"/>
      <c r="U16" s="635"/>
      <c r="V16" s="143"/>
      <c r="W16" s="143"/>
      <c r="X16" s="143"/>
      <c r="Y16" s="143"/>
      <c r="Z16" s="143" t="s">
        <v>747</v>
      </c>
      <c r="AA16" s="143"/>
      <c r="AB16" s="226"/>
      <c r="AC16" s="226"/>
      <c r="AD16" s="226"/>
      <c r="AE16" s="471" t="s">
        <v>529</v>
      </c>
      <c r="AF16" s="226"/>
      <c r="AG16" s="636"/>
      <c r="AH16" s="636"/>
      <c r="AI16" s="637"/>
      <c r="AJ16" s="638"/>
      <c r="AK16" s="1107"/>
      <c r="AL16" s="1107"/>
      <c r="AM16" s="15"/>
      <c r="AN16" s="621"/>
      <c r="AP16" s="449"/>
    </row>
    <row r="17" spans="1:43" x14ac:dyDescent="0.2">
      <c r="A17" s="615">
        <f t="shared" si="0"/>
        <v>13</v>
      </c>
      <c r="B17" s="617"/>
      <c r="C17" s="594" t="s">
        <v>651</v>
      </c>
      <c r="D17" s="227"/>
      <c r="E17" s="623"/>
      <c r="F17" s="227"/>
      <c r="G17" s="227"/>
      <c r="H17" s="227"/>
      <c r="I17" s="227"/>
      <c r="J17" s="227"/>
      <c r="K17" s="634"/>
      <c r="L17" s="624"/>
      <c r="M17" s="473"/>
      <c r="N17" s="1181"/>
      <c r="O17" s="1181"/>
      <c r="P17" s="1181"/>
      <c r="Q17" s="1181"/>
      <c r="R17" s="1181"/>
      <c r="S17" s="1181"/>
      <c r="T17" s="622"/>
      <c r="U17" s="639"/>
      <c r="V17" s="226"/>
      <c r="W17" s="143"/>
      <c r="X17" s="143"/>
      <c r="Y17" s="143"/>
      <c r="Z17" s="143"/>
      <c r="AA17" s="143"/>
      <c r="AB17" s="226"/>
      <c r="AC17" s="226"/>
      <c r="AD17" s="226"/>
      <c r="AE17" s="471" t="s">
        <v>530</v>
      </c>
      <c r="AF17" s="226"/>
      <c r="AG17" s="633"/>
      <c r="AH17" s="631"/>
      <c r="AI17" s="455"/>
      <c r="AJ17" s="455"/>
      <c r="AK17" s="1107"/>
      <c r="AL17" s="1107"/>
      <c r="AM17" s="15"/>
      <c r="AN17" s="621"/>
      <c r="AP17" s="449"/>
    </row>
    <row r="18" spans="1:43" x14ac:dyDescent="0.2">
      <c r="A18" s="615">
        <f t="shared" si="0"/>
        <v>14</v>
      </c>
      <c r="B18" s="617"/>
      <c r="C18" s="594" t="s">
        <v>829</v>
      </c>
      <c r="D18" s="227"/>
      <c r="E18" s="623"/>
      <c r="F18" s="468"/>
      <c r="G18" s="468"/>
      <c r="H18" s="468"/>
      <c r="I18" s="468"/>
      <c r="J18" s="468"/>
      <c r="K18" s="634"/>
      <c r="L18" s="624"/>
      <c r="M18" s="473"/>
      <c r="N18" s="1181"/>
      <c r="O18" s="1181"/>
      <c r="P18" s="1181"/>
      <c r="Q18" s="1181"/>
      <c r="R18" s="1181"/>
      <c r="S18" s="1181"/>
      <c r="T18" s="622"/>
      <c r="U18" s="640"/>
      <c r="V18" s="143"/>
      <c r="W18" s="143"/>
      <c r="X18" s="143"/>
      <c r="Y18" s="143"/>
      <c r="Z18" s="143"/>
      <c r="AA18" s="143"/>
      <c r="AB18" s="226"/>
      <c r="AC18" s="226"/>
      <c r="AD18" s="226"/>
      <c r="AE18" s="471" t="s">
        <v>531</v>
      </c>
      <c r="AF18" s="226"/>
      <c r="AG18" s="633"/>
      <c r="AH18" s="631"/>
      <c r="AI18" s="455"/>
      <c r="AJ18" s="455"/>
      <c r="AK18" s="1054"/>
      <c r="AL18" s="1054"/>
      <c r="AM18" s="15"/>
      <c r="AN18" s="621"/>
      <c r="AP18" s="449"/>
    </row>
    <row r="19" spans="1:43" x14ac:dyDescent="0.2">
      <c r="A19" s="615">
        <f t="shared" si="0"/>
        <v>15</v>
      </c>
      <c r="B19" s="617"/>
      <c r="C19" s="229"/>
      <c r="D19" s="623"/>
      <c r="E19" s="469"/>
      <c r="F19" s="469"/>
      <c r="G19" s="641"/>
      <c r="H19" s="641"/>
      <c r="I19" s="641"/>
      <c r="J19" s="226"/>
      <c r="K19" s="226"/>
      <c r="L19" s="642"/>
      <c r="M19" s="1102"/>
      <c r="N19" s="1102"/>
      <c r="O19" s="1102"/>
      <c r="P19" s="1102"/>
      <c r="Q19" s="1102"/>
      <c r="R19" s="1102"/>
      <c r="S19" s="1102"/>
      <c r="T19" s="419"/>
      <c r="U19" s="640"/>
      <c r="V19" s="143"/>
      <c r="W19" s="143"/>
      <c r="X19" s="143"/>
      <c r="Y19" s="143"/>
      <c r="Z19" s="143"/>
      <c r="AA19" s="143"/>
      <c r="AB19" s="226"/>
      <c r="AC19" s="226"/>
      <c r="AD19" s="226"/>
      <c r="AE19" s="471" t="s">
        <v>532</v>
      </c>
      <c r="AF19" s="226"/>
      <c r="AG19" s="633"/>
      <c r="AH19" s="631"/>
      <c r="AI19" s="455"/>
      <c r="AJ19" s="455"/>
      <c r="AK19" s="1054"/>
      <c r="AL19" s="1054"/>
      <c r="AM19" s="15"/>
      <c r="AN19" s="621"/>
      <c r="AP19" s="449"/>
    </row>
    <row r="20" spans="1:43" x14ac:dyDescent="0.2">
      <c r="A20" s="615">
        <f t="shared" si="0"/>
        <v>16</v>
      </c>
      <c r="B20" s="617"/>
      <c r="C20" s="488" t="s">
        <v>799</v>
      </c>
      <c r="D20" s="623"/>
      <c r="E20" s="469"/>
      <c r="F20" s="469"/>
      <c r="G20" s="469"/>
      <c r="H20" s="469"/>
      <c r="I20" s="469"/>
      <c r="J20" s="469"/>
      <c r="K20" s="226"/>
      <c r="L20" s="624"/>
      <c r="M20" s="455"/>
      <c r="N20" s="455"/>
      <c r="O20" s="455"/>
      <c r="P20" s="1110"/>
      <c r="Q20" s="1110"/>
      <c r="R20" s="1110"/>
      <c r="S20" s="1110"/>
      <c r="T20" s="622"/>
      <c r="U20" s="227"/>
      <c r="V20" s="466" t="s">
        <v>533</v>
      </c>
      <c r="W20" s="143"/>
      <c r="X20" s="143"/>
      <c r="Y20" s="143"/>
      <c r="Z20" s="143"/>
      <c r="AA20" s="143"/>
      <c r="AB20" s="226"/>
      <c r="AC20" s="226"/>
      <c r="AD20" s="226"/>
      <c r="AE20" s="226"/>
      <c r="AF20" s="226"/>
      <c r="AG20" s="636"/>
      <c r="AH20" s="636"/>
      <c r="AI20" s="638"/>
      <c r="AJ20" s="638"/>
      <c r="AK20" s="638"/>
      <c r="AL20" s="12"/>
      <c r="AM20" s="15"/>
      <c r="AN20" s="621"/>
      <c r="AP20" s="449"/>
    </row>
    <row r="21" spans="1:43" x14ac:dyDescent="0.2">
      <c r="A21" s="615">
        <f t="shared" si="0"/>
        <v>17</v>
      </c>
      <c r="B21" s="617"/>
      <c r="C21" s="594" t="s">
        <v>654</v>
      </c>
      <c r="D21" s="623"/>
      <c r="E21" s="469"/>
      <c r="F21" s="469"/>
      <c r="G21" s="469"/>
      <c r="H21" s="641"/>
      <c r="I21" s="641"/>
      <c r="J21" s="641"/>
      <c r="K21" s="641"/>
      <c r="L21" s="642"/>
      <c r="M21" s="517"/>
      <c r="N21" s="517"/>
      <c r="O21" s="517"/>
      <c r="R21" s="1166"/>
      <c r="S21" s="1166"/>
      <c r="T21" s="622"/>
      <c r="U21" s="136"/>
      <c r="V21" s="226"/>
      <c r="W21" s="143"/>
      <c r="X21" s="143"/>
      <c r="Y21" s="143"/>
      <c r="Z21" s="143"/>
      <c r="AA21" s="143"/>
      <c r="AB21" s="226"/>
      <c r="AC21" s="226"/>
      <c r="AD21" s="226"/>
      <c r="AE21" s="471" t="s">
        <v>529</v>
      </c>
      <c r="AF21" s="226"/>
      <c r="AG21" s="636"/>
      <c r="AH21" s="636"/>
      <c r="AI21" s="637"/>
      <c r="AJ21" s="638"/>
      <c r="AK21" s="1054"/>
      <c r="AL21" s="1054"/>
      <c r="AM21" s="15"/>
      <c r="AN21" s="621"/>
      <c r="AP21" s="449"/>
    </row>
    <row r="22" spans="1:43" x14ac:dyDescent="0.2">
      <c r="A22" s="615">
        <f t="shared" si="0"/>
        <v>18</v>
      </c>
      <c r="B22" s="644"/>
      <c r="C22" s="594" t="s">
        <v>655</v>
      </c>
      <c r="R22" s="1166"/>
      <c r="S22" s="1166"/>
      <c r="T22" s="622"/>
      <c r="U22" s="114"/>
      <c r="V22" s="226"/>
      <c r="W22" s="143"/>
      <c r="X22" s="143"/>
      <c r="Y22" s="143"/>
      <c r="Z22" s="143"/>
      <c r="AA22" s="143"/>
      <c r="AB22" s="226"/>
      <c r="AC22" s="226"/>
      <c r="AD22" s="226"/>
      <c r="AE22" s="471" t="s">
        <v>530</v>
      </c>
      <c r="AF22" s="226"/>
      <c r="AG22" s="633"/>
      <c r="AH22" s="631"/>
      <c r="AI22" s="455"/>
      <c r="AJ22" s="455"/>
      <c r="AK22" s="1054"/>
      <c r="AL22" s="1054"/>
      <c r="AM22" s="15"/>
      <c r="AN22" s="645"/>
      <c r="AP22" s="449"/>
    </row>
    <row r="23" spans="1:43" ht="12.75" customHeight="1" x14ac:dyDescent="0.2">
      <c r="A23" s="615"/>
      <c r="B23" s="646"/>
      <c r="C23" s="519"/>
      <c r="D23" s="520"/>
      <c r="E23" s="520"/>
      <c r="F23" s="520"/>
      <c r="G23" s="520"/>
      <c r="H23" s="520"/>
      <c r="I23" s="520"/>
      <c r="J23" s="520"/>
      <c r="K23" s="520"/>
      <c r="L23" s="520"/>
      <c r="M23" s="520"/>
      <c r="N23" s="520"/>
      <c r="O23" s="520"/>
      <c r="P23" s="520"/>
      <c r="Q23" s="520"/>
      <c r="R23" s="520"/>
      <c r="S23" s="520"/>
      <c r="U23" s="114"/>
      <c r="V23" s="226"/>
      <c r="W23" s="226"/>
      <c r="X23" s="143"/>
      <c r="Y23" s="143"/>
      <c r="Z23" s="143"/>
      <c r="AA23" s="143"/>
      <c r="AB23" s="226"/>
      <c r="AC23" s="226"/>
      <c r="AD23" s="226"/>
      <c r="AE23" s="471" t="s">
        <v>531</v>
      </c>
      <c r="AF23" s="226"/>
      <c r="AG23" s="633"/>
      <c r="AH23" s="631"/>
      <c r="AI23" s="455"/>
      <c r="AJ23" s="455"/>
      <c r="AK23" s="1054"/>
      <c r="AL23" s="1054"/>
      <c r="AM23" s="15"/>
      <c r="AN23" s="647"/>
      <c r="AP23" s="449"/>
    </row>
    <row r="24" spans="1:43" x14ac:dyDescent="0.2">
      <c r="A24" s="615">
        <f>A22+1</f>
        <v>19</v>
      </c>
      <c r="B24" s="617"/>
      <c r="C24" s="488" t="s">
        <v>656</v>
      </c>
      <c r="D24" s="595"/>
      <c r="E24" s="595"/>
      <c r="F24" s="595"/>
      <c r="G24" s="595"/>
      <c r="H24" s="595"/>
      <c r="I24" s="595"/>
      <c r="J24" s="595"/>
      <c r="K24" s="595"/>
      <c r="L24" s="595"/>
      <c r="M24" s="595"/>
      <c r="N24" s="595"/>
      <c r="O24" s="629"/>
      <c r="T24" s="690"/>
      <c r="U24" s="114"/>
      <c r="V24" s="143"/>
      <c r="W24" s="143"/>
      <c r="X24" s="143"/>
      <c r="Y24" s="143"/>
      <c r="Z24" s="143"/>
      <c r="AA24" s="143"/>
      <c r="AB24" s="226"/>
      <c r="AC24" s="226"/>
      <c r="AD24" s="226"/>
      <c r="AE24" s="471" t="s">
        <v>532</v>
      </c>
      <c r="AF24" s="226"/>
      <c r="AG24" s="633"/>
      <c r="AH24" s="631"/>
      <c r="AI24" s="455"/>
      <c r="AJ24" s="455"/>
      <c r="AK24" s="1054"/>
      <c r="AL24" s="1054"/>
      <c r="AM24" s="15"/>
      <c r="AN24" s="621"/>
      <c r="AP24" s="449"/>
    </row>
    <row r="25" spans="1:43" x14ac:dyDescent="0.2">
      <c r="A25" s="615">
        <f t="shared" ref="A25:A46" si="1">A24+1</f>
        <v>20</v>
      </c>
      <c r="B25" s="617"/>
      <c r="C25" s="594" t="s">
        <v>808</v>
      </c>
      <c r="D25" s="649"/>
      <c r="E25" s="383"/>
      <c r="F25" s="525"/>
      <c r="G25" s="525"/>
      <c r="H25" s="525"/>
      <c r="I25" s="525"/>
      <c r="J25" s="525"/>
      <c r="K25" s="525"/>
      <c r="L25" s="525"/>
      <c r="M25" s="525"/>
      <c r="N25" s="649"/>
      <c r="O25" s="649"/>
      <c r="P25" s="1206"/>
      <c r="Q25" s="1206"/>
      <c r="R25" s="1206"/>
      <c r="S25" s="1206"/>
      <c r="T25" s="622"/>
      <c r="U25" s="114"/>
      <c r="V25" s="466" t="s">
        <v>779</v>
      </c>
      <c r="W25" s="143"/>
      <c r="X25" s="143"/>
      <c r="Y25" s="143"/>
      <c r="Z25" s="143"/>
      <c r="AA25" s="143"/>
      <c r="AB25" s="143"/>
      <c r="AC25" s="143"/>
      <c r="AD25" s="648"/>
      <c r="AE25" s="648"/>
      <c r="AF25" s="648"/>
      <c r="AG25" s="648"/>
      <c r="AH25" s="227"/>
      <c r="AI25" s="455"/>
      <c r="AJ25" s="455"/>
      <c r="AK25" s="1107"/>
      <c r="AL25" s="1107"/>
      <c r="AM25" s="15"/>
      <c r="AN25" s="621"/>
      <c r="AP25" s="449"/>
    </row>
    <row r="26" spans="1:43" x14ac:dyDescent="0.2">
      <c r="A26" s="615">
        <f t="shared" si="1"/>
        <v>21</v>
      </c>
      <c r="B26" s="617"/>
      <c r="C26" s="594" t="s">
        <v>830</v>
      </c>
      <c r="D26" s="629"/>
      <c r="E26" s="548"/>
      <c r="F26" s="629"/>
      <c r="G26" s="629"/>
      <c r="H26" s="629"/>
      <c r="I26" s="629"/>
      <c r="J26" s="651"/>
      <c r="K26" s="651"/>
      <c r="L26" s="651"/>
      <c r="M26" s="651"/>
      <c r="N26" s="651"/>
      <c r="O26" s="695"/>
      <c r="P26" s="695"/>
      <c r="Q26" s="695"/>
      <c r="T26" s="694"/>
      <c r="U26" s="114"/>
      <c r="V26" s="466" t="s">
        <v>774</v>
      </c>
      <c r="W26" s="470"/>
      <c r="X26" s="470"/>
      <c r="Y26" s="470"/>
      <c r="Z26" s="470"/>
      <c r="AA26" s="470"/>
      <c r="AB26" s="470"/>
      <c r="AC26" s="143"/>
      <c r="AD26" s="649"/>
      <c r="AE26" s="648"/>
      <c r="AF26" s="648"/>
      <c r="AG26" s="649"/>
      <c r="AH26" s="226"/>
      <c r="AI26" s="650"/>
      <c r="AJ26" s="650"/>
      <c r="AK26" s="1075"/>
      <c r="AL26" s="1075"/>
      <c r="AM26" s="103"/>
      <c r="AN26" s="621"/>
      <c r="AP26" s="449"/>
      <c r="AQ26" s="133"/>
    </row>
    <row r="27" spans="1:43" s="23" customFormat="1" ht="13.35" customHeight="1" x14ac:dyDescent="0.2">
      <c r="A27" s="615">
        <f t="shared" si="1"/>
        <v>22</v>
      </c>
      <c r="B27" s="617"/>
      <c r="C27" s="3"/>
      <c r="D27" s="840"/>
      <c r="E27" s="3"/>
      <c r="F27" s="3"/>
      <c r="G27" s="3"/>
      <c r="H27" s="3"/>
      <c r="I27" s="3"/>
      <c r="J27" s="3"/>
      <c r="K27" s="3"/>
      <c r="L27" s="3"/>
      <c r="M27" s="3"/>
      <c r="N27" s="3"/>
      <c r="O27" s="3"/>
      <c r="P27" s="3"/>
      <c r="Q27" s="3"/>
      <c r="R27" s="1182"/>
      <c r="S27" s="1182"/>
      <c r="T27" s="622"/>
      <c r="U27" s="114"/>
      <c r="V27" s="470"/>
      <c r="W27" s="470"/>
      <c r="X27" s="470"/>
      <c r="Y27" s="470"/>
      <c r="Z27" s="470"/>
      <c r="AA27" s="470"/>
      <c r="AB27" s="470"/>
      <c r="AC27" s="143"/>
      <c r="AD27" s="649"/>
      <c r="AE27" s="471" t="s">
        <v>17</v>
      </c>
      <c r="AF27" s="648"/>
      <c r="AG27" s="649"/>
      <c r="AH27" s="444"/>
      <c r="AI27" s="1203"/>
      <c r="AJ27" s="1203"/>
      <c r="AK27" s="1203"/>
      <c r="AL27" s="1203"/>
      <c r="AM27" s="160"/>
      <c r="AN27" s="652"/>
      <c r="AP27" s="449"/>
      <c r="AQ27" s="434"/>
    </row>
    <row r="28" spans="1:43" x14ac:dyDescent="0.2">
      <c r="A28" s="615">
        <f t="shared" si="1"/>
        <v>23</v>
      </c>
      <c r="B28" s="617"/>
      <c r="C28" s="594" t="s">
        <v>809</v>
      </c>
      <c r="D28" s="595"/>
      <c r="E28" s="595"/>
      <c r="F28" s="595"/>
      <c r="G28" s="595"/>
      <c r="H28" s="595"/>
      <c r="I28" s="595"/>
      <c r="J28" s="595"/>
      <c r="K28" s="595"/>
      <c r="L28" s="595"/>
      <c r="M28" s="595"/>
      <c r="N28" s="595"/>
      <c r="O28" s="595"/>
      <c r="P28" s="502"/>
      <c r="Q28" s="472"/>
      <c r="R28" s="1182"/>
      <c r="S28" s="1182"/>
      <c r="T28" s="622"/>
      <c r="U28" s="137"/>
      <c r="V28" s="226"/>
      <c r="W28" s="226"/>
      <c r="X28" s="226"/>
      <c r="Y28" s="226"/>
      <c r="Z28" s="226"/>
      <c r="AA28" s="226"/>
      <c r="AB28" s="226"/>
      <c r="AC28" s="226"/>
      <c r="AD28" s="226"/>
      <c r="AE28" s="471" t="s">
        <v>534</v>
      </c>
      <c r="AF28" s="226"/>
      <c r="AG28" s="226"/>
      <c r="AH28" s="226"/>
      <c r="AI28" s="1084"/>
      <c r="AJ28" s="1084"/>
      <c r="AK28" s="1084"/>
      <c r="AL28" s="1084"/>
      <c r="AM28" s="103"/>
      <c r="AN28" s="621"/>
      <c r="AP28" s="449"/>
      <c r="AQ28" s="434"/>
    </row>
    <row r="29" spans="1:43" x14ac:dyDescent="0.2">
      <c r="A29" s="615">
        <f t="shared" si="1"/>
        <v>24</v>
      </c>
      <c r="B29" s="617"/>
      <c r="C29" s="488" t="s">
        <v>657</v>
      </c>
      <c r="D29" s="595"/>
      <c r="E29" s="383"/>
      <c r="F29" s="468"/>
      <c r="G29" s="468"/>
      <c r="H29" s="649"/>
      <c r="I29" s="468"/>
      <c r="J29" s="468"/>
      <c r="K29" s="468"/>
      <c r="L29" s="649"/>
      <c r="M29" s="595"/>
      <c r="N29" s="636"/>
      <c r="O29" s="595"/>
      <c r="P29" s="517"/>
      <c r="Q29" s="517"/>
      <c r="R29" s="517"/>
      <c r="S29" s="517"/>
      <c r="T29" s="622"/>
      <c r="U29" s="229"/>
      <c r="V29" s="471" t="s">
        <v>780</v>
      </c>
      <c r="W29" s="239"/>
      <c r="X29" s="471"/>
      <c r="Y29" s="471"/>
      <c r="Z29" s="471"/>
      <c r="AA29" s="471"/>
      <c r="AB29" s="471"/>
      <c r="AC29" s="471"/>
      <c r="AD29" s="471"/>
      <c r="AE29" s="471"/>
      <c r="AF29" s="471"/>
      <c r="AG29" s="472"/>
      <c r="AH29" s="472"/>
      <c r="AI29" s="472"/>
      <c r="AJ29" s="472"/>
      <c r="AK29" s="1107"/>
      <c r="AL29" s="1107"/>
      <c r="AM29" s="103"/>
      <c r="AN29" s="621"/>
      <c r="AP29" s="449"/>
      <c r="AQ29" s="434"/>
    </row>
    <row r="30" spans="1:43" x14ac:dyDescent="0.2">
      <c r="A30" s="615">
        <f t="shared" si="1"/>
        <v>25</v>
      </c>
      <c r="B30" s="617"/>
      <c r="C30" s="483" t="s">
        <v>658</v>
      </c>
      <c r="D30" s="595"/>
      <c r="E30" s="595"/>
      <c r="F30" s="468"/>
      <c r="G30" s="468"/>
      <c r="H30" s="468"/>
      <c r="I30" s="468"/>
      <c r="J30" s="468"/>
      <c r="K30" s="468"/>
      <c r="L30" s="468"/>
      <c r="M30" s="468"/>
      <c r="N30" s="636"/>
      <c r="O30" s="595"/>
      <c r="P30" s="517"/>
      <c r="Q30" s="517"/>
      <c r="R30" s="1166"/>
      <c r="S30" s="1166"/>
      <c r="T30" s="622"/>
      <c r="U30" s="500"/>
      <c r="W30" s="579" t="s">
        <v>686</v>
      </c>
      <c r="AM30" s="103"/>
      <c r="AN30" s="621"/>
      <c r="AP30" s="483"/>
    </row>
    <row r="31" spans="1:43" ht="13.35" customHeight="1" x14ac:dyDescent="0.2">
      <c r="A31" s="615">
        <f t="shared" si="1"/>
        <v>26</v>
      </c>
      <c r="B31" s="617"/>
      <c r="C31" s="483" t="s">
        <v>659</v>
      </c>
      <c r="D31" s="629"/>
      <c r="E31" s="629"/>
      <c r="F31" s="629"/>
      <c r="G31" s="629"/>
      <c r="H31" s="629"/>
      <c r="I31" s="629"/>
      <c r="J31" s="629"/>
      <c r="K31" s="629"/>
      <c r="L31" s="240"/>
      <c r="M31" s="240"/>
      <c r="N31" s="240"/>
      <c r="O31" s="240"/>
      <c r="P31" s="240"/>
      <c r="Q31" s="629"/>
      <c r="R31" s="1166"/>
      <c r="S31" s="1166"/>
      <c r="T31" s="622"/>
      <c r="U31" s="229"/>
      <c r="W31" s="999"/>
      <c r="X31" s="999"/>
      <c r="Y31" s="999"/>
      <c r="Z31" s="999"/>
      <c r="AA31" s="999"/>
      <c r="AB31" s="999"/>
      <c r="AC31" s="999"/>
      <c r="AD31" s="999"/>
      <c r="AE31" s="999"/>
      <c r="AF31" s="999"/>
      <c r="AG31" s="999"/>
      <c r="AH31" s="999"/>
      <c r="AI31" s="999"/>
      <c r="AJ31" s="999"/>
      <c r="AK31" s="999"/>
      <c r="AL31" s="999"/>
      <c r="AM31" s="103"/>
      <c r="AN31" s="621"/>
    </row>
    <row r="32" spans="1:43" x14ac:dyDescent="0.2">
      <c r="A32" s="615">
        <f t="shared" si="1"/>
        <v>27</v>
      </c>
      <c r="B32" s="617"/>
      <c r="C32" s="654"/>
      <c r="D32" s="655"/>
      <c r="E32" s="655"/>
      <c r="F32" s="655"/>
      <c r="G32" s="655"/>
      <c r="H32" s="655"/>
      <c r="I32" s="655"/>
      <c r="J32" s="656" t="s">
        <v>71</v>
      </c>
      <c r="K32" s="654"/>
      <c r="L32" s="655"/>
      <c r="M32" s="657" t="str">
        <f ca="1">Units!B22</f>
        <v>lb</v>
      </c>
      <c r="N32" s="654"/>
      <c r="O32" s="655"/>
      <c r="P32" s="655"/>
      <c r="Q32" s="655"/>
      <c r="R32" s="655"/>
      <c r="S32" s="655"/>
      <c r="T32" s="235"/>
      <c r="U32" s="229"/>
      <c r="V32" s="840" t="s">
        <v>824</v>
      </c>
      <c r="AK32" s="1107"/>
      <c r="AL32" s="1107"/>
      <c r="AM32" s="116"/>
      <c r="AN32" s="645"/>
    </row>
    <row r="33" spans="1:40" ht="3" customHeight="1" x14ac:dyDescent="0.2">
      <c r="A33" s="615"/>
      <c r="B33" s="617"/>
      <c r="C33" s="648"/>
      <c r="D33" s="469"/>
      <c r="E33" s="468"/>
      <c r="F33" s="469"/>
      <c r="G33" s="469"/>
      <c r="H33" s="469"/>
      <c r="I33" s="469"/>
      <c r="J33" s="469"/>
      <c r="K33" s="469"/>
      <c r="L33" s="469"/>
      <c r="M33" s="469"/>
      <c r="N33" s="469"/>
      <c r="O33" s="469"/>
      <c r="P33" s="469"/>
      <c r="Q33" s="469"/>
      <c r="R33" s="469"/>
      <c r="S33" s="469"/>
      <c r="T33" s="622"/>
      <c r="U33" s="229"/>
      <c r="AK33" s="112"/>
      <c r="AL33" s="112"/>
      <c r="AM33" s="116"/>
      <c r="AN33" s="647"/>
    </row>
    <row r="34" spans="1:40" x14ac:dyDescent="0.2">
      <c r="A34" s="615">
        <f>A32+1</f>
        <v>28</v>
      </c>
      <c r="B34" s="617"/>
      <c r="C34" s="1183" t="s">
        <v>171</v>
      </c>
      <c r="D34" s="1183"/>
      <c r="E34" s="1184"/>
      <c r="F34" s="1187" t="s">
        <v>112</v>
      </c>
      <c r="G34" s="1183"/>
      <c r="H34" s="1184"/>
      <c r="I34" s="1187" t="s">
        <v>172</v>
      </c>
      <c r="J34" s="1183"/>
      <c r="K34" s="1184"/>
      <c r="L34" s="1187" t="s">
        <v>173</v>
      </c>
      <c r="M34" s="1183"/>
      <c r="N34" s="1184"/>
      <c r="O34" s="1007" t="s">
        <v>174</v>
      </c>
      <c r="P34" s="1008"/>
      <c r="Q34" s="1009"/>
      <c r="R34" s="1007" t="s">
        <v>175</v>
      </c>
      <c r="S34" s="1008"/>
      <c r="T34" s="1009"/>
      <c r="U34" s="229"/>
      <c r="V34" s="471" t="s">
        <v>864</v>
      </c>
      <c r="W34" s="472"/>
      <c r="X34" s="471"/>
      <c r="Y34" s="471"/>
      <c r="Z34" s="471"/>
      <c r="AA34" s="471"/>
      <c r="AB34" s="471"/>
      <c r="AC34" s="471"/>
      <c r="AD34" s="471"/>
      <c r="AE34" s="471"/>
      <c r="AF34" s="471"/>
      <c r="AG34" s="471"/>
      <c r="AH34" s="471"/>
      <c r="AI34" s="471"/>
      <c r="AJ34" s="471"/>
      <c r="AK34"/>
      <c r="AL34"/>
      <c r="AM34" s="15"/>
      <c r="AN34" s="621"/>
    </row>
    <row r="35" spans="1:40" ht="13.35" customHeight="1" x14ac:dyDescent="0.2">
      <c r="A35" s="615">
        <f t="shared" si="1"/>
        <v>29</v>
      </c>
      <c r="B35" s="617"/>
      <c r="C35" s="1204"/>
      <c r="D35" s="1204"/>
      <c r="E35" s="1205"/>
      <c r="F35" s="1167"/>
      <c r="G35" s="1168"/>
      <c r="H35" s="1169"/>
      <c r="I35" s="1167"/>
      <c r="J35" s="1168"/>
      <c r="K35" s="1169"/>
      <c r="L35" s="1167"/>
      <c r="M35" s="1168"/>
      <c r="N35" s="1169"/>
      <c r="O35" s="1167"/>
      <c r="P35" s="1168"/>
      <c r="Q35" s="1169"/>
      <c r="R35" s="1188">
        <f>F35+I35+L35+O35</f>
        <v>0</v>
      </c>
      <c r="S35" s="1189"/>
      <c r="T35" s="1190"/>
      <c r="U35" s="229"/>
      <c r="V35" s="472" t="s">
        <v>865</v>
      </c>
      <c r="W35" s="463"/>
      <c r="X35" s="451"/>
      <c r="Y35" s="451"/>
      <c r="Z35" s="451"/>
      <c r="AA35" s="451"/>
      <c r="AB35" s="451"/>
      <c r="AC35" s="451"/>
      <c r="AD35" s="451"/>
      <c r="AE35" s="451"/>
      <c r="AF35" s="451"/>
      <c r="AG35" s="451"/>
      <c r="AH35" s="451"/>
      <c r="AI35" s="451"/>
      <c r="AJ35" s="451"/>
      <c r="AK35" s="1054"/>
      <c r="AL35" s="1054"/>
      <c r="AM35" s="15"/>
      <c r="AN35" s="621"/>
    </row>
    <row r="36" spans="1:40" x14ac:dyDescent="0.2">
      <c r="A36" s="615">
        <f t="shared" si="1"/>
        <v>30</v>
      </c>
      <c r="B36" s="617"/>
      <c r="C36" s="1192"/>
      <c r="D36" s="1192"/>
      <c r="E36" s="1193"/>
      <c r="F36" s="1191"/>
      <c r="G36" s="1192"/>
      <c r="H36" s="1193"/>
      <c r="I36" s="1191"/>
      <c r="J36" s="1192"/>
      <c r="K36" s="1193"/>
      <c r="L36" s="1191"/>
      <c r="M36" s="1192"/>
      <c r="N36" s="1193"/>
      <c r="O36" s="1191"/>
      <c r="P36" s="1192"/>
      <c r="Q36" s="1193"/>
      <c r="R36" s="1197">
        <f>F36+I36+L36+O36</f>
        <v>0</v>
      </c>
      <c r="S36" s="1198"/>
      <c r="T36" s="1199"/>
      <c r="U36" s="229"/>
      <c r="V36" s="482" t="s">
        <v>763</v>
      </c>
      <c r="W36" s="463"/>
      <c r="X36" s="451"/>
      <c r="Y36" s="451"/>
      <c r="Z36" s="451"/>
      <c r="AA36" s="451"/>
      <c r="AB36" s="451"/>
      <c r="AC36" s="451"/>
      <c r="AD36" s="451"/>
      <c r="AE36" s="451"/>
      <c r="AF36" s="451"/>
      <c r="AG36" s="451"/>
      <c r="AH36" s="451"/>
      <c r="AI36" s="451"/>
      <c r="AJ36" s="451"/>
      <c r="AK36" s="1107"/>
      <c r="AL36" s="1107"/>
      <c r="AM36" s="15"/>
      <c r="AN36" s="621"/>
    </row>
    <row r="37" spans="1:40" x14ac:dyDescent="0.2">
      <c r="A37" s="615">
        <f t="shared" si="1"/>
        <v>31</v>
      </c>
      <c r="B37" s="617"/>
      <c r="C37" s="1201"/>
      <c r="D37" s="1201"/>
      <c r="E37" s="1202"/>
      <c r="F37" s="1200"/>
      <c r="G37" s="1201"/>
      <c r="H37" s="1202"/>
      <c r="I37" s="1200"/>
      <c r="J37" s="1201"/>
      <c r="K37" s="1202"/>
      <c r="L37" s="1200"/>
      <c r="M37" s="1201"/>
      <c r="N37" s="1202"/>
      <c r="O37" s="1200"/>
      <c r="P37" s="1201"/>
      <c r="Q37" s="1202"/>
      <c r="R37" s="1194">
        <f>F37+I37+L37+O37</f>
        <v>0</v>
      </c>
      <c r="S37" s="1195"/>
      <c r="T37" s="1196"/>
      <c r="U37" s="229"/>
      <c r="V37" s="483" t="s">
        <v>693</v>
      </c>
      <c r="W37" s="463"/>
      <c r="X37" s="451"/>
      <c r="Y37" s="451"/>
      <c r="Z37" s="451"/>
      <c r="AA37" s="451"/>
      <c r="AB37" s="451"/>
      <c r="AC37" s="451"/>
      <c r="AD37" s="451"/>
      <c r="AE37" s="451"/>
      <c r="AF37" s="451"/>
      <c r="AG37" s="451"/>
      <c r="AH37" s="451"/>
      <c r="AI37" s="451"/>
      <c r="AJ37" s="1052"/>
      <c r="AK37" s="1052"/>
      <c r="AL37" s="1052"/>
      <c r="AM37" s="15"/>
      <c r="AN37" s="621"/>
    </row>
    <row r="38" spans="1:40" x14ac:dyDescent="0.2">
      <c r="A38" s="615">
        <f t="shared" si="1"/>
        <v>32</v>
      </c>
      <c r="B38" s="617"/>
      <c r="C38" s="239"/>
      <c r="D38" s="623"/>
      <c r="E38" s="469"/>
      <c r="F38" s="469"/>
      <c r="G38" s="641"/>
      <c r="H38" s="641"/>
      <c r="I38" s="641"/>
      <c r="J38" s="1170"/>
      <c r="K38" s="1170"/>
      <c r="L38" s="1170"/>
      <c r="M38" s="1170"/>
      <c r="N38" s="1170"/>
      <c r="O38" s="641"/>
      <c r="P38" s="641"/>
      <c r="Q38" s="641"/>
      <c r="R38" s="641"/>
      <c r="S38" s="641"/>
      <c r="T38" s="622"/>
      <c r="U38" s="114"/>
      <c r="V38" s="483" t="s">
        <v>815</v>
      </c>
      <c r="W38" s="463"/>
      <c r="X38" s="451"/>
      <c r="Y38" s="451"/>
      <c r="Z38" s="451"/>
      <c r="AA38" s="451"/>
      <c r="AB38" s="451"/>
      <c r="AC38" s="451"/>
      <c r="AD38" s="451"/>
      <c r="AE38" s="451"/>
      <c r="AF38" s="451"/>
      <c r="AG38" s="451"/>
      <c r="AH38" s="451"/>
      <c r="AI38" s="451"/>
      <c r="AJ38" s="1063"/>
      <c r="AK38" s="1063"/>
      <c r="AL38" s="1063"/>
      <c r="AM38" s="15"/>
      <c r="AN38" s="621"/>
    </row>
    <row r="39" spans="1:40" x14ac:dyDescent="0.2">
      <c r="A39" s="615">
        <f t="shared" si="1"/>
        <v>33</v>
      </c>
      <c r="B39" s="617"/>
      <c r="C39" s="1176" t="s">
        <v>72</v>
      </c>
      <c r="D39" s="1176"/>
      <c r="E39" s="1176"/>
      <c r="F39" s="1176"/>
      <c r="G39" s="1176"/>
      <c r="H39" s="1176"/>
      <c r="I39" s="1176"/>
      <c r="J39" s="1176"/>
      <c r="K39" s="1176"/>
      <c r="L39" s="1176"/>
      <c r="M39" s="1176"/>
      <c r="N39" s="1176"/>
      <c r="O39" s="1176"/>
      <c r="P39" s="1176"/>
      <c r="Q39" s="1176"/>
      <c r="R39" s="1176"/>
      <c r="S39" s="1176"/>
      <c r="T39" s="1177"/>
      <c r="U39" s="229"/>
      <c r="V39" s="483" t="s">
        <v>825</v>
      </c>
      <c r="W39" s="463"/>
      <c r="X39" s="473"/>
      <c r="Y39" s="473"/>
      <c r="Z39" s="473"/>
      <c r="AA39" s="473"/>
      <c r="AB39" s="473"/>
      <c r="AC39" s="473"/>
      <c r="AD39" s="473"/>
      <c r="AE39" s="473"/>
      <c r="AF39" s="473"/>
      <c r="AG39" s="473"/>
      <c r="AH39" s="473"/>
      <c r="AI39" s="473"/>
      <c r="AJ39" s="1052"/>
      <c r="AK39" s="1052"/>
      <c r="AL39" s="1052"/>
      <c r="AM39" s="15"/>
      <c r="AN39" s="621"/>
    </row>
    <row r="40" spans="1:40" x14ac:dyDescent="0.2">
      <c r="A40" s="615">
        <f t="shared" si="1"/>
        <v>34</v>
      </c>
      <c r="B40" s="617"/>
      <c r="C40" s="469"/>
      <c r="D40" s="483" t="s">
        <v>817</v>
      </c>
      <c r="E40" s="226"/>
      <c r="F40" s="227"/>
      <c r="G40" s="227"/>
      <c r="H40" s="227"/>
      <c r="I40" s="227"/>
      <c r="J40" s="227"/>
      <c r="K40" s="227"/>
      <c r="L40" s="227"/>
      <c r="M40" s="227"/>
      <c r="N40" s="227"/>
      <c r="O40" s="227"/>
      <c r="P40" s="227"/>
      <c r="Q40" s="226"/>
      <c r="R40" s="1110"/>
      <c r="S40" s="1063"/>
      <c r="T40" s="658"/>
      <c r="U40" s="229"/>
      <c r="V40" s="483" t="s">
        <v>788</v>
      </c>
      <c r="W40" s="463"/>
      <c r="X40" s="473"/>
      <c r="Y40" s="473"/>
      <c r="Z40" s="473"/>
      <c r="AA40" s="473"/>
      <c r="AB40" s="473"/>
      <c r="AC40" s="473"/>
      <c r="AD40" s="473"/>
      <c r="AE40" s="473"/>
      <c r="AF40" s="473"/>
      <c r="AG40" s="473"/>
      <c r="AH40" s="473"/>
      <c r="AI40" s="473"/>
      <c r="AJ40" s="1063"/>
      <c r="AK40" s="1063"/>
      <c r="AL40" s="1063"/>
      <c r="AM40" s="15"/>
      <c r="AN40" s="621"/>
    </row>
    <row r="41" spans="1:40" x14ac:dyDescent="0.2">
      <c r="A41" s="615">
        <f t="shared" si="1"/>
        <v>35</v>
      </c>
      <c r="B41" s="617"/>
      <c r="C41" s="469"/>
      <c r="D41" s="483" t="s">
        <v>692</v>
      </c>
      <c r="E41" s="226"/>
      <c r="F41" s="227"/>
      <c r="G41" s="227"/>
      <c r="H41" s="227"/>
      <c r="I41" s="227"/>
      <c r="J41" s="227"/>
      <c r="K41" s="227"/>
      <c r="L41" s="227"/>
      <c r="M41" s="227"/>
      <c r="N41" s="227"/>
      <c r="O41" s="227"/>
      <c r="P41" s="227"/>
      <c r="Q41" s="226"/>
      <c r="R41" s="547"/>
      <c r="S41" s="547"/>
      <c r="T41" s="659"/>
      <c r="U41" s="643"/>
      <c r="V41" s="483" t="s">
        <v>784</v>
      </c>
      <c r="W41" s="16"/>
      <c r="X41" s="12"/>
      <c r="Y41" s="12"/>
      <c r="Z41" s="12"/>
      <c r="AA41" s="12"/>
      <c r="AB41" s="12"/>
      <c r="AC41" s="113"/>
      <c r="AD41" s="113"/>
      <c r="AE41" s="113"/>
      <c r="AF41" s="113"/>
      <c r="AG41" s="113"/>
      <c r="AH41" s="113"/>
      <c r="AI41" s="113"/>
      <c r="AJ41" s="1063"/>
      <c r="AK41" s="1063"/>
      <c r="AL41" s="1063"/>
      <c r="AM41" s="15"/>
      <c r="AN41" s="621"/>
    </row>
    <row r="42" spans="1:40" x14ac:dyDescent="0.2">
      <c r="A42" s="615">
        <f t="shared" si="1"/>
        <v>36</v>
      </c>
      <c r="B42" s="617"/>
      <c r="C42" s="227"/>
      <c r="D42" s="483"/>
      <c r="E42" s="226"/>
      <c r="F42" s="227"/>
      <c r="G42" s="227"/>
      <c r="H42" s="227"/>
      <c r="I42" s="227"/>
      <c r="J42" s="227"/>
      <c r="K42" s="227"/>
      <c r="L42" s="227"/>
      <c r="M42" s="227"/>
      <c r="N42" s="227"/>
      <c r="O42" s="227"/>
      <c r="P42" s="227"/>
      <c r="Q42" s="462" t="s">
        <v>552</v>
      </c>
      <c r="R42" s="1081"/>
      <c r="S42" s="1081"/>
      <c r="T42" s="234"/>
      <c r="U42" s="643"/>
      <c r="V42" s="483" t="s">
        <v>785</v>
      </c>
      <c r="W42" s="12"/>
      <c r="X42" s="12"/>
      <c r="Y42" s="12"/>
      <c r="Z42" s="12"/>
      <c r="AA42" s="12"/>
      <c r="AB42" s="12"/>
      <c r="AC42" s="12"/>
      <c r="AD42" s="12"/>
      <c r="AE42" s="12"/>
      <c r="AF42" s="12"/>
      <c r="AG42" s="12" t="s">
        <v>16</v>
      </c>
      <c r="AH42" s="1063"/>
      <c r="AI42" s="1063"/>
      <c r="AJ42" s="1063"/>
      <c r="AK42" s="1063"/>
      <c r="AL42" s="1063"/>
      <c r="AM42" s="15"/>
      <c r="AN42" s="621"/>
    </row>
    <row r="43" spans="1:40" x14ac:dyDescent="0.2">
      <c r="A43" s="615">
        <f t="shared" si="1"/>
        <v>37</v>
      </c>
      <c r="B43" s="617"/>
      <c r="C43" s="227"/>
      <c r="D43" s="483"/>
      <c r="E43" s="226"/>
      <c r="F43" s="227"/>
      <c r="G43" s="227"/>
      <c r="H43" s="227"/>
      <c r="I43" s="227"/>
      <c r="J43" s="227"/>
      <c r="K43" s="227"/>
      <c r="L43" s="227"/>
      <c r="M43" s="227"/>
      <c r="N43" s="227"/>
      <c r="O43" s="227"/>
      <c r="P43" s="227"/>
      <c r="Q43" s="462" t="s">
        <v>554</v>
      </c>
      <c r="R43" s="486"/>
      <c r="S43" s="486"/>
      <c r="T43" s="234"/>
      <c r="U43" s="643"/>
      <c r="V43" s="483" t="s">
        <v>793</v>
      </c>
      <c r="W43" s="14"/>
      <c r="X43" s="113"/>
      <c r="Y43" s="113"/>
      <c r="Z43" s="113"/>
      <c r="AA43" s="113"/>
      <c r="AB43" s="113"/>
      <c r="AC43" s="113"/>
      <c r="AD43" s="113"/>
      <c r="AE43" s="113"/>
      <c r="AF43" s="113"/>
      <c r="AG43" s="113"/>
      <c r="AH43" s="113"/>
      <c r="AI43" s="452"/>
      <c r="AJ43" s="1063"/>
      <c r="AK43" s="1063"/>
      <c r="AL43" s="1063"/>
      <c r="AM43" s="103"/>
      <c r="AN43" s="621"/>
    </row>
    <row r="44" spans="1:40" x14ac:dyDescent="0.2">
      <c r="A44" s="615">
        <f t="shared" si="1"/>
        <v>38</v>
      </c>
      <c r="B44" s="617"/>
      <c r="C44" s="239"/>
      <c r="D44" s="483"/>
      <c r="E44" s="226"/>
      <c r="F44" s="227"/>
      <c r="G44" s="227"/>
      <c r="H44" s="227"/>
      <c r="I44" s="227"/>
      <c r="J44" s="227"/>
      <c r="K44" s="227"/>
      <c r="L44" s="227"/>
      <c r="M44" s="227"/>
      <c r="N44" s="227"/>
      <c r="O44" s="227"/>
      <c r="P44" s="227"/>
      <c r="Q44" s="228" t="s">
        <v>553</v>
      </c>
      <c r="R44" s="1103"/>
      <c r="S44" s="1103"/>
      <c r="T44" s="234"/>
      <c r="U44" s="242"/>
      <c r="V44" s="483" t="s">
        <v>792</v>
      </c>
      <c r="W44" s="12"/>
      <c r="X44" s="474"/>
      <c r="Y44" s="12"/>
      <c r="Z44" s="12"/>
      <c r="AA44" s="12"/>
      <c r="AB44" s="12"/>
      <c r="AC44" s="12"/>
      <c r="AD44" s="12"/>
      <c r="AE44" s="453"/>
      <c r="AF44" s="474"/>
      <c r="AG44" s="12"/>
      <c r="AH44" s="502"/>
      <c r="AI44" s="455"/>
      <c r="AJ44" s="1063"/>
      <c r="AK44" s="1063"/>
      <c r="AL44" s="1063"/>
      <c r="AM44" s="103"/>
      <c r="AN44" s="621"/>
    </row>
    <row r="45" spans="1:40" x14ac:dyDescent="0.2">
      <c r="A45" s="615">
        <f t="shared" si="1"/>
        <v>39</v>
      </c>
      <c r="B45" s="617"/>
      <c r="C45" s="239"/>
      <c r="D45" s="483" t="s">
        <v>801</v>
      </c>
      <c r="E45" s="226"/>
      <c r="F45" s="227"/>
      <c r="G45" s="227"/>
      <c r="H45" s="227"/>
      <c r="I45" s="227"/>
      <c r="J45" s="227"/>
      <c r="K45" s="227"/>
      <c r="L45" s="227"/>
      <c r="M45" s="227"/>
      <c r="N45" s="227"/>
      <c r="O45" s="227"/>
      <c r="P45" s="227"/>
      <c r="Q45" s="226"/>
      <c r="R45" s="1110"/>
      <c r="S45" s="1110"/>
      <c r="T45" s="234"/>
      <c r="U45" s="242"/>
      <c r="V45" s="483" t="s">
        <v>791</v>
      </c>
      <c r="W45" s="12"/>
      <c r="X45" s="474"/>
      <c r="Y45" s="12"/>
      <c r="Z45" s="12"/>
      <c r="AA45" s="12"/>
      <c r="AB45" s="12"/>
      <c r="AC45" s="12"/>
      <c r="AD45" s="12"/>
      <c r="AE45" s="453"/>
      <c r="AF45" s="113"/>
      <c r="AG45" s="113"/>
      <c r="AH45" s="502"/>
      <c r="AI45" s="455"/>
      <c r="AJ45" s="1063"/>
      <c r="AK45" s="1063"/>
      <c r="AL45" s="1063"/>
      <c r="AM45" s="103"/>
      <c r="AN45" s="621"/>
    </row>
    <row r="46" spans="1:40" x14ac:dyDescent="0.2">
      <c r="A46" s="615">
        <f t="shared" si="1"/>
        <v>40</v>
      </c>
      <c r="B46" s="617"/>
      <c r="C46" s="468"/>
      <c r="D46" s="483" t="s">
        <v>831</v>
      </c>
      <c r="E46" s="226"/>
      <c r="F46" s="620"/>
      <c r="G46" s="662"/>
      <c r="H46" s="662"/>
      <c r="I46" s="662"/>
      <c r="J46" s="662"/>
      <c r="K46" s="662"/>
      <c r="L46" s="662"/>
      <c r="M46" s="662"/>
      <c r="N46" s="626"/>
      <c r="O46" s="662"/>
      <c r="P46" s="662"/>
      <c r="Q46" s="226"/>
      <c r="R46" s="1171"/>
      <c r="S46" s="1171"/>
      <c r="T46" s="653"/>
      <c r="U46" s="660"/>
      <c r="V46" s="483" t="s">
        <v>786</v>
      </c>
      <c r="W46" s="239"/>
      <c r="X46" s="472"/>
      <c r="Y46" s="472"/>
      <c r="Z46" s="472"/>
      <c r="AA46" s="472"/>
      <c r="AB46" s="472"/>
      <c r="AC46" s="472"/>
      <c r="AD46" s="472"/>
      <c r="AE46" s="472"/>
      <c r="AF46" s="472"/>
      <c r="AG46" s="472"/>
      <c r="AH46" s="502"/>
      <c r="AI46" s="455"/>
      <c r="AJ46" s="1063"/>
      <c r="AK46" s="1063"/>
      <c r="AL46" s="1063"/>
      <c r="AM46" s="431"/>
      <c r="AN46" s="621"/>
    </row>
    <row r="47" spans="1:40" x14ac:dyDescent="0.2">
      <c r="A47" s="615">
        <f t="shared" ref="A47:A69" si="2">A46+1</f>
        <v>41</v>
      </c>
      <c r="B47" s="617"/>
      <c r="C47" s="661"/>
      <c r="D47" s="483" t="s">
        <v>832</v>
      </c>
      <c r="E47" s="226"/>
      <c r="F47" s="468"/>
      <c r="G47" s="468"/>
      <c r="H47" s="468"/>
      <c r="I47" s="469"/>
      <c r="J47" s="469"/>
      <c r="K47" s="469"/>
      <c r="L47" s="469"/>
      <c r="M47" s="469"/>
      <c r="N47" s="469"/>
      <c r="O47" s="469"/>
      <c r="P47" s="469"/>
      <c r="Q47" s="226"/>
      <c r="R47" s="1103"/>
      <c r="S47" s="1103"/>
      <c r="T47" s="663"/>
      <c r="U47" s="448"/>
      <c r="V47" s="483" t="s">
        <v>783</v>
      </c>
      <c r="W47" s="240"/>
      <c r="X47" s="240"/>
      <c r="Y47" s="240"/>
      <c r="Z47" s="240"/>
      <c r="AA47" s="240"/>
      <c r="AB47" s="240"/>
      <c r="AC47" s="240"/>
      <c r="AD47" s="240"/>
      <c r="AE47" s="240"/>
      <c r="AF47" s="240"/>
      <c r="AG47" s="240"/>
      <c r="AH47" s="240"/>
      <c r="AI47" s="240"/>
      <c r="AJ47" s="1063"/>
      <c r="AK47" s="1063"/>
      <c r="AL47" s="1063"/>
      <c r="AM47" s="431"/>
      <c r="AN47" s="621"/>
    </row>
    <row r="48" spans="1:40" x14ac:dyDescent="0.2">
      <c r="A48" s="615">
        <f t="shared" si="2"/>
        <v>42</v>
      </c>
      <c r="B48" s="617"/>
      <c r="C48" s="227"/>
      <c r="D48" s="483" t="s">
        <v>819</v>
      </c>
      <c r="E48" s="226"/>
      <c r="F48" s="468"/>
      <c r="G48" s="469"/>
      <c r="H48" s="469"/>
      <c r="I48" s="469"/>
      <c r="J48" s="468"/>
      <c r="K48" s="468"/>
      <c r="L48" s="468"/>
      <c r="M48" s="469"/>
      <c r="N48" s="468"/>
      <c r="O48" s="468"/>
      <c r="P48" s="469"/>
      <c r="Q48" s="226"/>
      <c r="R48" s="1171"/>
      <c r="S48" s="1171"/>
      <c r="T48" s="653"/>
      <c r="U48" s="448"/>
      <c r="V48" s="483" t="s">
        <v>787</v>
      </c>
      <c r="W48" s="475"/>
      <c r="X48" s="475"/>
      <c r="Y48" s="475"/>
      <c r="Z48" s="475"/>
      <c r="AA48" s="475"/>
      <c r="AB48" s="475"/>
      <c r="AC48" s="475"/>
      <c r="AD48" s="475"/>
      <c r="AE48" s="475"/>
      <c r="AF48" s="475"/>
      <c r="AG48" s="475"/>
      <c r="AH48" s="475"/>
      <c r="AI48" s="475"/>
      <c r="AJ48" s="1063"/>
      <c r="AK48" s="1063"/>
      <c r="AL48" s="1063"/>
      <c r="AM48" s="431"/>
      <c r="AN48" s="621"/>
    </row>
    <row r="49" spans="1:40" x14ac:dyDescent="0.2">
      <c r="A49" s="615">
        <f t="shared" si="2"/>
        <v>43</v>
      </c>
      <c r="B49" s="617"/>
      <c r="C49" s="227"/>
      <c r="D49" s="483" t="s">
        <v>835</v>
      </c>
      <c r="E49" s="226"/>
      <c r="F49" s="468"/>
      <c r="G49" s="468"/>
      <c r="H49" s="468"/>
      <c r="I49" s="468"/>
      <c r="J49" s="468"/>
      <c r="K49" s="468"/>
      <c r="L49" s="468"/>
      <c r="M49" s="226"/>
      <c r="N49" s="226"/>
      <c r="O49" s="468"/>
      <c r="P49" s="468"/>
      <c r="Q49" s="226"/>
      <c r="T49" s="622"/>
      <c r="U49" s="435"/>
      <c r="V49" s="483" t="s">
        <v>794</v>
      </c>
      <c r="W49" s="435"/>
      <c r="X49" s="435"/>
      <c r="Y49" s="435"/>
      <c r="Z49" s="435"/>
      <c r="AA49" s="435"/>
      <c r="AB49" s="435"/>
      <c r="AC49" s="435"/>
      <c r="AD49" s="435"/>
      <c r="AE49" s="435"/>
      <c r="AF49" s="435"/>
      <c r="AG49" s="435"/>
      <c r="AH49" s="435"/>
      <c r="AI49" s="435"/>
      <c r="AJ49" s="1063"/>
      <c r="AK49" s="1063"/>
      <c r="AL49" s="1063"/>
      <c r="AM49" s="431"/>
      <c r="AN49" s="621"/>
    </row>
    <row r="50" spans="1:40" s="23" customFormat="1" ht="13.35" customHeight="1" x14ac:dyDescent="0.2">
      <c r="A50" s="615">
        <f t="shared" si="2"/>
        <v>44</v>
      </c>
      <c r="B50" s="617"/>
      <c r="C50" s="468"/>
      <c r="D50" s="3"/>
      <c r="E50" s="3"/>
      <c r="F50" s="3"/>
      <c r="G50" s="3"/>
      <c r="H50" s="3"/>
      <c r="I50" s="3"/>
      <c r="J50" s="3"/>
      <c r="K50" s="3"/>
      <c r="L50" s="3"/>
      <c r="M50" s="3"/>
      <c r="N50" s="3"/>
      <c r="O50" s="3"/>
      <c r="P50" s="3"/>
      <c r="Q50" s="3"/>
      <c r="R50" s="1075"/>
      <c r="S50" s="1075"/>
      <c r="T50" s="622"/>
      <c r="U50" s="435"/>
      <c r="V50" s="483" t="s">
        <v>795</v>
      </c>
      <c r="W50" s="435"/>
      <c r="X50" s="435"/>
      <c r="Y50" s="435"/>
      <c r="Z50" s="435"/>
      <c r="AA50" s="435"/>
      <c r="AB50" s="435"/>
      <c r="AC50" s="435"/>
      <c r="AD50" s="435"/>
      <c r="AE50" s="435"/>
      <c r="AF50" s="435"/>
      <c r="AG50" s="435"/>
      <c r="AH50" s="435"/>
      <c r="AI50" s="435"/>
      <c r="AJ50" s="1063"/>
      <c r="AK50" s="1063"/>
      <c r="AL50" s="1063"/>
      <c r="AM50" s="432"/>
      <c r="AN50" s="652"/>
    </row>
    <row r="51" spans="1:40" x14ac:dyDescent="0.2">
      <c r="A51" s="615">
        <f t="shared" si="2"/>
        <v>45</v>
      </c>
      <c r="B51" s="617"/>
      <c r="C51" s="629"/>
      <c r="D51" s="483" t="s">
        <v>803</v>
      </c>
      <c r="E51" s="226"/>
      <c r="F51" s="468"/>
      <c r="G51" s="468"/>
      <c r="H51" s="468"/>
      <c r="I51" s="468"/>
      <c r="J51" s="468"/>
      <c r="K51" s="469"/>
      <c r="L51" s="469"/>
      <c r="M51" s="226"/>
      <c r="N51" s="226"/>
      <c r="O51" s="469"/>
      <c r="P51" s="469"/>
      <c r="Q51" s="226"/>
      <c r="R51" s="1075"/>
      <c r="S51" s="1075"/>
      <c r="T51" s="622"/>
      <c r="U51" s="435"/>
      <c r="V51" s="484" t="s">
        <v>778</v>
      </c>
      <c r="W51" s="435"/>
      <c r="X51" s="435"/>
      <c r="Y51" s="435"/>
      <c r="Z51" s="435"/>
      <c r="AA51" s="435"/>
      <c r="AB51" s="435"/>
      <c r="AC51" s="435"/>
      <c r="AD51" s="435"/>
      <c r="AE51" s="435"/>
      <c r="AF51" s="435"/>
      <c r="AG51" s="435"/>
      <c r="AH51" s="435"/>
      <c r="AI51" s="435"/>
      <c r="AJ51" s="1063"/>
      <c r="AK51" s="1063"/>
      <c r="AL51" s="1063"/>
      <c r="AM51" s="431"/>
      <c r="AN51" s="621"/>
    </row>
    <row r="52" spans="1:40" x14ac:dyDescent="0.2">
      <c r="A52" s="615">
        <f t="shared" si="2"/>
        <v>46</v>
      </c>
      <c r="B52" s="617"/>
      <c r="C52" s="472"/>
      <c r="D52" s="226" t="s">
        <v>833</v>
      </c>
      <c r="E52" s="226"/>
      <c r="F52" s="468"/>
      <c r="G52" s="468"/>
      <c r="H52" s="468"/>
      <c r="I52" s="468"/>
      <c r="J52" s="469"/>
      <c r="K52" s="469"/>
      <c r="L52" s="469"/>
      <c r="M52" s="469"/>
      <c r="N52" s="469"/>
      <c r="O52" s="469"/>
      <c r="P52" s="226"/>
      <c r="Q52" s="226"/>
      <c r="R52" s="1075"/>
      <c r="S52" s="1075"/>
      <c r="T52" s="622"/>
      <c r="U52" s="435"/>
      <c r="V52" s="840" t="s">
        <v>827</v>
      </c>
      <c r="AH52" s="1067"/>
      <c r="AI52" s="1067"/>
      <c r="AJ52" s="1067"/>
      <c r="AK52" s="1067"/>
      <c r="AL52" s="1067"/>
      <c r="AM52" s="431"/>
      <c r="AN52" s="621"/>
    </row>
    <row r="53" spans="1:40" x14ac:dyDescent="0.2">
      <c r="A53" s="615">
        <f t="shared" si="2"/>
        <v>47</v>
      </c>
      <c r="B53" s="617"/>
      <c r="C53" s="648"/>
      <c r="D53" s="483" t="s">
        <v>734</v>
      </c>
      <c r="E53" s="226"/>
      <c r="F53" s="468"/>
      <c r="G53" s="468"/>
      <c r="H53" s="468"/>
      <c r="I53" s="468"/>
      <c r="J53" s="468"/>
      <c r="K53" s="468"/>
      <c r="L53" s="468"/>
      <c r="M53" s="226"/>
      <c r="N53" s="226"/>
      <c r="O53" s="468"/>
      <c r="P53" s="468"/>
      <c r="Q53" s="226"/>
      <c r="R53" s="1075"/>
      <c r="S53" s="1075"/>
      <c r="T53" s="622"/>
      <c r="U53" s="435"/>
      <c r="V53" s="484" t="s">
        <v>694</v>
      </c>
      <c r="W53" s="435"/>
      <c r="X53" s="435"/>
      <c r="Y53" s="435"/>
      <c r="Z53" s="435"/>
      <c r="AA53" s="435"/>
      <c r="AB53" s="435"/>
      <c r="AC53" s="435"/>
      <c r="AD53" s="435"/>
      <c r="AE53" s="435"/>
      <c r="AF53" s="435"/>
      <c r="AG53" s="435"/>
      <c r="AH53" s="435"/>
      <c r="AI53" s="435"/>
      <c r="AJ53" s="1052"/>
      <c r="AK53" s="1052"/>
      <c r="AL53" s="1052"/>
      <c r="AM53" s="431"/>
      <c r="AN53" s="621"/>
    </row>
    <row r="54" spans="1:40" x14ac:dyDescent="0.2">
      <c r="A54" s="615">
        <f t="shared" si="2"/>
        <v>48</v>
      </c>
      <c r="B54" s="617"/>
      <c r="C54" s="661"/>
      <c r="D54" s="483" t="s">
        <v>818</v>
      </c>
      <c r="E54" s="226"/>
      <c r="F54" s="468"/>
      <c r="G54" s="468"/>
      <c r="H54" s="468"/>
      <c r="I54" s="468"/>
      <c r="J54" s="468"/>
      <c r="K54" s="468"/>
      <c r="L54" s="469"/>
      <c r="M54" s="226"/>
      <c r="N54" s="226"/>
      <c r="O54" s="469"/>
      <c r="P54" s="469"/>
      <c r="Q54" s="226"/>
      <c r="R54" s="1075"/>
      <c r="S54" s="1075"/>
      <c r="T54" s="664"/>
      <c r="U54" s="435"/>
      <c r="V54" s="484" t="s">
        <v>695</v>
      </c>
      <c r="W54" s="435"/>
      <c r="X54" s="435"/>
      <c r="Y54" s="435"/>
      <c r="Z54" s="435"/>
      <c r="AA54" s="435"/>
      <c r="AB54" s="435"/>
      <c r="AC54" s="435"/>
      <c r="AD54" s="435"/>
      <c r="AE54" s="435"/>
      <c r="AF54" s="435"/>
      <c r="AG54" s="435"/>
      <c r="AH54" s="435"/>
      <c r="AI54" s="435"/>
      <c r="AJ54" s="1052"/>
      <c r="AK54" s="1052"/>
      <c r="AL54" s="1052"/>
      <c r="AM54" s="431"/>
      <c r="AN54" s="621"/>
    </row>
    <row r="55" spans="1:40" x14ac:dyDescent="0.2">
      <c r="A55" s="615">
        <f t="shared" si="2"/>
        <v>49</v>
      </c>
      <c r="B55" s="617"/>
      <c r="C55" s="649"/>
      <c r="D55" s="472" t="s">
        <v>834</v>
      </c>
      <c r="R55" s="545"/>
      <c r="S55" s="545"/>
      <c r="T55" s="622"/>
      <c r="U55" s="435"/>
      <c r="V55" s="483" t="s">
        <v>696</v>
      </c>
      <c r="W55" s="435"/>
      <c r="X55" s="435"/>
      <c r="Y55" s="435"/>
      <c r="Z55" s="435"/>
      <c r="AA55" s="435"/>
      <c r="AB55" s="435"/>
      <c r="AC55" s="435"/>
      <c r="AD55" s="435"/>
      <c r="AE55" s="435"/>
      <c r="AF55" s="435"/>
      <c r="AG55" s="435"/>
      <c r="AH55" s="435"/>
      <c r="AI55" s="435"/>
      <c r="AJ55" s="1052"/>
      <c r="AK55" s="1052"/>
      <c r="AL55" s="1052"/>
      <c r="AM55" s="431"/>
      <c r="AN55" s="621"/>
    </row>
    <row r="56" spans="1:40" x14ac:dyDescent="0.2">
      <c r="A56" s="615">
        <f t="shared" si="2"/>
        <v>50</v>
      </c>
      <c r="B56" s="617"/>
      <c r="C56" s="649"/>
      <c r="D56" s="472"/>
      <c r="E56" s="840"/>
      <c r="R56" s="1107"/>
      <c r="S56" s="1107"/>
      <c r="T56" s="622"/>
      <c r="U56" s="435"/>
      <c r="V56" s="483" t="s">
        <v>789</v>
      </c>
      <c r="W56" s="435"/>
      <c r="X56" s="435"/>
      <c r="Y56" s="435"/>
      <c r="Z56" s="435"/>
      <c r="AA56" s="435"/>
      <c r="AB56" s="435"/>
      <c r="AC56" s="435"/>
      <c r="AD56" s="435"/>
      <c r="AE56" s="435"/>
      <c r="AF56" s="435"/>
      <c r="AG56" s="435"/>
      <c r="AH56" s="435"/>
      <c r="AI56" s="435"/>
      <c r="AJ56" s="1063"/>
      <c r="AK56" s="1063"/>
      <c r="AL56" s="1063"/>
      <c r="AM56" s="431"/>
      <c r="AN56" s="621"/>
    </row>
    <row r="57" spans="1:40" x14ac:dyDescent="0.2">
      <c r="A57" s="615">
        <f t="shared" si="2"/>
        <v>51</v>
      </c>
      <c r="B57" s="617"/>
      <c r="C57" s="649"/>
      <c r="D57" s="472" t="s">
        <v>555</v>
      </c>
      <c r="N57" s="840" t="s">
        <v>732</v>
      </c>
      <c r="R57" s="1107"/>
      <c r="S57" s="1107"/>
      <c r="T57" s="622"/>
      <c r="U57" s="435"/>
      <c r="V57" s="483" t="s">
        <v>790</v>
      </c>
      <c r="W57" s="435"/>
      <c r="X57" s="435"/>
      <c r="Y57" s="435"/>
      <c r="Z57" s="435"/>
      <c r="AA57" s="435"/>
      <c r="AB57" s="435"/>
      <c r="AC57" s="435"/>
      <c r="AD57" s="435"/>
      <c r="AE57" s="435"/>
      <c r="AF57" s="435"/>
      <c r="AG57" s="435"/>
      <c r="AH57" s="435"/>
      <c r="AI57" s="435"/>
      <c r="AJ57" s="1185"/>
      <c r="AK57" s="1185"/>
      <c r="AL57" s="1185"/>
      <c r="AM57" s="431"/>
      <c r="AN57" s="645"/>
    </row>
    <row r="58" spans="1:40" ht="12.75" customHeight="1" x14ac:dyDescent="0.2">
      <c r="A58" s="615">
        <f t="shared" si="2"/>
        <v>52</v>
      </c>
      <c r="B58" s="617"/>
      <c r="C58" s="487"/>
      <c r="D58" s="472" t="s">
        <v>736</v>
      </c>
      <c r="E58" s="23"/>
      <c r="F58" s="23"/>
      <c r="G58" s="23"/>
      <c r="H58" s="23"/>
      <c r="I58" s="23"/>
      <c r="J58" s="23"/>
      <c r="K58" s="23"/>
      <c r="L58" s="23"/>
      <c r="M58" s="23"/>
      <c r="N58" s="23"/>
      <c r="O58" s="23"/>
      <c r="P58" s="23"/>
      <c r="Q58" s="23"/>
      <c r="R58" s="1075"/>
      <c r="S58" s="1075"/>
      <c r="T58" s="480"/>
      <c r="U58" s="448"/>
      <c r="V58" s="861"/>
      <c r="W58" s="862"/>
      <c r="X58" s="862"/>
      <c r="Y58" s="862"/>
      <c r="Z58" s="862"/>
      <c r="AA58" s="862"/>
      <c r="AB58" s="862"/>
      <c r="AC58" s="862"/>
      <c r="AD58" s="862"/>
      <c r="AE58" s="862"/>
      <c r="AF58" s="862"/>
      <c r="AG58" s="862"/>
      <c r="AH58" s="862"/>
      <c r="AI58" s="862"/>
      <c r="AJ58" s="1172"/>
      <c r="AK58" s="1172"/>
      <c r="AL58" s="1172"/>
      <c r="AM58" s="863"/>
      <c r="AN58" s="864"/>
    </row>
    <row r="59" spans="1:40" ht="12.75" customHeight="1" x14ac:dyDescent="0.2">
      <c r="A59" s="615"/>
      <c r="B59" s="617"/>
      <c r="D59" s="472" t="s">
        <v>757</v>
      </c>
      <c r="O59" s="724"/>
      <c r="R59" s="1075"/>
      <c r="S59" s="1075"/>
      <c r="T59" s="481"/>
      <c r="U59" s="448"/>
      <c r="V59" s="484" t="s">
        <v>798</v>
      </c>
      <c r="W59" s="435"/>
      <c r="X59" s="435"/>
      <c r="Y59" s="435"/>
      <c r="Z59" s="435"/>
      <c r="AA59" s="435"/>
      <c r="AB59" s="435"/>
      <c r="AC59" s="435"/>
      <c r="AD59" s="435"/>
      <c r="AE59" s="435"/>
      <c r="AF59" s="435"/>
      <c r="AG59" s="435"/>
      <c r="AH59" s="435"/>
      <c r="AI59" s="435"/>
      <c r="AJ59" s="1063"/>
      <c r="AK59" s="1063"/>
      <c r="AL59" s="1063"/>
      <c r="AM59" s="431"/>
      <c r="AN59" s="647"/>
    </row>
    <row r="60" spans="1:40" s="23" customFormat="1" ht="13.35" customHeight="1" x14ac:dyDescent="0.2">
      <c r="A60" s="615">
        <f>A58+1</f>
        <v>53</v>
      </c>
      <c r="B60" s="617"/>
      <c r="C60" s="433"/>
      <c r="D60" s="471" t="s">
        <v>880</v>
      </c>
      <c r="E60" s="3"/>
      <c r="F60" s="3"/>
      <c r="G60" s="3"/>
      <c r="H60" s="3"/>
      <c r="I60" s="3"/>
      <c r="J60" s="3"/>
      <c r="K60" s="3"/>
      <c r="L60" s="3"/>
      <c r="M60" s="3"/>
      <c r="N60" s="3"/>
      <c r="O60" s="3"/>
      <c r="P60" s="3"/>
      <c r="Q60" s="3"/>
      <c r="R60" s="1075"/>
      <c r="S60" s="1075"/>
      <c r="T60" s="481"/>
      <c r="U60" s="816"/>
      <c r="V60" s="471" t="s">
        <v>813</v>
      </c>
      <c r="W60" s="435"/>
      <c r="X60" s="435"/>
      <c r="Y60" s="435"/>
      <c r="Z60" s="435"/>
      <c r="AA60" s="435"/>
      <c r="AB60" s="435"/>
      <c r="AC60" s="435"/>
      <c r="AD60" s="435"/>
      <c r="AE60" s="435"/>
      <c r="AF60" s="435"/>
      <c r="AG60" s="435"/>
      <c r="AH60" s="435"/>
      <c r="AI60" s="435"/>
      <c r="AJ60" s="1063"/>
      <c r="AK60" s="1063"/>
      <c r="AL60" s="1063"/>
      <c r="AM60" s="15"/>
      <c r="AN60" s="652"/>
    </row>
    <row r="61" spans="1:40" x14ac:dyDescent="0.2">
      <c r="A61" s="615">
        <f t="shared" si="2"/>
        <v>54</v>
      </c>
      <c r="B61" s="617"/>
      <c r="C61" s="433"/>
      <c r="D61" s="483" t="s">
        <v>881</v>
      </c>
      <c r="E61" s="481"/>
      <c r="F61" s="481"/>
      <c r="G61" s="481"/>
      <c r="H61" s="481"/>
      <c r="I61" s="481"/>
      <c r="J61" s="481"/>
      <c r="K61" s="481"/>
      <c r="L61" s="481"/>
      <c r="M61" s="481"/>
      <c r="N61" s="481"/>
      <c r="O61" s="481"/>
      <c r="P61" s="481"/>
      <c r="Q61" s="481"/>
      <c r="R61" s="1075"/>
      <c r="S61" s="1075"/>
      <c r="T61" s="481"/>
      <c r="U61" s="701"/>
      <c r="V61" s="484" t="s">
        <v>697</v>
      </c>
      <c r="W61" s="435"/>
      <c r="X61" s="435"/>
      <c r="Y61" s="435"/>
      <c r="Z61" s="435"/>
      <c r="AA61" s="435"/>
      <c r="AB61" s="435"/>
      <c r="AC61" s="435"/>
      <c r="AD61" s="435"/>
      <c r="AE61" s="435"/>
      <c r="AF61" s="435"/>
      <c r="AG61" s="435"/>
      <c r="AH61" s="435"/>
      <c r="AI61" s="435"/>
      <c r="AJ61" s="23"/>
      <c r="AK61" s="23"/>
      <c r="AL61" s="23"/>
      <c r="AM61" s="15"/>
      <c r="AN61" s="621"/>
    </row>
    <row r="62" spans="1:40" x14ac:dyDescent="0.2">
      <c r="A62" s="615">
        <f t="shared" si="2"/>
        <v>55</v>
      </c>
      <c r="B62" s="617"/>
      <c r="C62" s="436"/>
      <c r="D62" s="466" t="s">
        <v>733</v>
      </c>
      <c r="E62" s="481"/>
      <c r="F62" s="481"/>
      <c r="G62" s="481"/>
      <c r="H62" s="481"/>
      <c r="I62" s="481"/>
      <c r="J62" s="481"/>
      <c r="K62" s="481"/>
      <c r="L62" s="481"/>
      <c r="M62" s="455"/>
      <c r="N62" s="455"/>
      <c r="O62" s="455"/>
      <c r="P62" s="455"/>
      <c r="Q62" s="455"/>
      <c r="R62" s="1107"/>
      <c r="S62" s="1107"/>
      <c r="T62" s="481"/>
      <c r="U62" s="701"/>
      <c r="W62" s="840" t="s">
        <v>807</v>
      </c>
      <c r="AJ62" s="1063"/>
      <c r="AK62" s="1063"/>
      <c r="AL62" s="1063"/>
      <c r="AM62" s="15"/>
      <c r="AN62" s="621"/>
    </row>
    <row r="63" spans="1:40" x14ac:dyDescent="0.2">
      <c r="A63" s="615">
        <f t="shared" si="2"/>
        <v>56</v>
      </c>
      <c r="B63" s="617"/>
      <c r="C63" s="436"/>
      <c r="D63" s="483" t="s">
        <v>775</v>
      </c>
      <c r="E63" s="481"/>
      <c r="F63" s="481"/>
      <c r="G63" s="481"/>
      <c r="H63" s="481"/>
      <c r="I63" s="481"/>
      <c r="J63" s="481"/>
      <c r="K63" s="481"/>
      <c r="L63" s="481"/>
      <c r="M63" s="481"/>
      <c r="N63" s="1107"/>
      <c r="O63" s="1107"/>
      <c r="P63" s="1107"/>
      <c r="Q63" s="1107"/>
      <c r="R63" s="1107"/>
      <c r="S63" s="1107"/>
      <c r="T63" s="481"/>
      <c r="U63" s="701"/>
      <c r="V63" s="484" t="s">
        <v>796</v>
      </c>
      <c r="W63" s="480"/>
      <c r="X63" s="480"/>
      <c r="Y63" s="480"/>
      <c r="Z63" s="480"/>
      <c r="AA63" s="480"/>
      <c r="AB63" s="480"/>
      <c r="AC63" s="480"/>
      <c r="AD63" s="480"/>
      <c r="AE63" s="480"/>
      <c r="AF63" s="480"/>
      <c r="AG63" s="480"/>
      <c r="AH63" s="480"/>
      <c r="AI63" s="480"/>
      <c r="AJ63" s="1063"/>
      <c r="AK63" s="1063"/>
      <c r="AL63" s="1063"/>
      <c r="AM63" s="15"/>
      <c r="AN63" s="621"/>
    </row>
    <row r="64" spans="1:40" x14ac:dyDescent="0.2">
      <c r="A64" s="615">
        <f t="shared" si="2"/>
        <v>57</v>
      </c>
      <c r="B64" s="617"/>
      <c r="C64" s="436"/>
      <c r="D64" s="483" t="s">
        <v>556</v>
      </c>
      <c r="E64" s="481"/>
      <c r="F64" s="481"/>
      <c r="G64" s="481"/>
      <c r="H64" s="481"/>
      <c r="I64" s="481"/>
      <c r="J64" s="481"/>
      <c r="K64" s="481"/>
      <c r="L64" s="481"/>
      <c r="M64" s="481"/>
      <c r="N64" s="481"/>
      <c r="O64" s="481"/>
      <c r="P64" s="481"/>
      <c r="Q64" s="481"/>
      <c r="R64" s="1054"/>
      <c r="S64" s="1054"/>
      <c r="T64" s="481"/>
      <c r="U64" s="701"/>
      <c r="V64" s="484" t="s">
        <v>535</v>
      </c>
      <c r="W64" s="481"/>
      <c r="X64" s="481"/>
      <c r="Y64" s="481"/>
      <c r="Z64" s="481"/>
      <c r="AA64" s="481"/>
      <c r="AB64" s="481"/>
      <c r="AC64" s="481"/>
      <c r="AD64" s="481"/>
      <c r="AE64" s="481"/>
      <c r="AF64" s="481"/>
      <c r="AG64" s="481"/>
      <c r="AH64" s="481"/>
      <c r="AI64" s="481"/>
      <c r="AJ64" s="1173"/>
      <c r="AK64" s="1173"/>
      <c r="AL64" s="1173"/>
      <c r="AM64" s="15"/>
      <c r="AN64" s="621"/>
    </row>
    <row r="65" spans="1:42" x14ac:dyDescent="0.2">
      <c r="A65" s="615">
        <f t="shared" si="2"/>
        <v>58</v>
      </c>
      <c r="B65" s="617"/>
      <c r="C65" s="436"/>
      <c r="D65" s="466" t="s">
        <v>773</v>
      </c>
      <c r="E65" s="481"/>
      <c r="F65" s="481"/>
      <c r="G65" s="481"/>
      <c r="H65" s="481"/>
      <c r="I65" s="481"/>
      <c r="J65" s="481"/>
      <c r="K65" s="481"/>
      <c r="L65" s="481"/>
      <c r="M65" s="481"/>
      <c r="N65" s="481"/>
      <c r="O65" s="481"/>
      <c r="P65" s="481"/>
      <c r="Q65" s="481"/>
      <c r="R65" s="1107"/>
      <c r="S65" s="1107"/>
      <c r="T65" s="481"/>
      <c r="U65" s="701"/>
      <c r="V65" s="1174"/>
      <c r="W65" s="1174"/>
      <c r="X65" s="1174"/>
      <c r="Y65" s="1174"/>
      <c r="Z65" s="1174"/>
      <c r="AA65" s="1174"/>
      <c r="AB65" s="1174"/>
      <c r="AC65" s="1174"/>
      <c r="AD65" s="1174"/>
      <c r="AE65" s="1174"/>
      <c r="AF65" s="1174"/>
      <c r="AG65" s="1174"/>
      <c r="AH65" s="1174"/>
      <c r="AI65" s="1174"/>
      <c r="AJ65" s="1174"/>
      <c r="AK65" s="1174"/>
      <c r="AL65" s="1174"/>
      <c r="AM65" s="15"/>
      <c r="AN65" s="621"/>
    </row>
    <row r="66" spans="1:42" x14ac:dyDescent="0.2">
      <c r="A66" s="615">
        <f t="shared" si="2"/>
        <v>59</v>
      </c>
      <c r="B66" s="617"/>
      <c r="C66" s="113"/>
      <c r="D66" s="466" t="s">
        <v>782</v>
      </c>
      <c r="E66" s="481"/>
      <c r="F66" s="481"/>
      <c r="G66" s="481"/>
      <c r="H66" s="481"/>
      <c r="I66" s="481"/>
      <c r="J66" s="481"/>
      <c r="K66" s="481"/>
      <c r="L66" s="481"/>
      <c r="M66" s="481"/>
      <c r="N66" s="481"/>
      <c r="O66" s="481"/>
      <c r="P66" s="481"/>
      <c r="Q66" s="481"/>
      <c r="R66" s="1107"/>
      <c r="S66" s="1107"/>
      <c r="T66" s="481"/>
      <c r="U66" s="701"/>
      <c r="V66" s="840" t="s">
        <v>797</v>
      </c>
      <c r="AJ66" s="1186"/>
      <c r="AK66" s="1186"/>
      <c r="AL66" s="1186"/>
      <c r="AM66" s="15"/>
      <c r="AN66" s="621"/>
    </row>
    <row r="67" spans="1:42" x14ac:dyDescent="0.2">
      <c r="A67" s="615">
        <f t="shared" si="2"/>
        <v>60</v>
      </c>
      <c r="B67" s="617"/>
      <c r="C67" s="113"/>
      <c r="D67" s="466" t="s">
        <v>772</v>
      </c>
      <c r="E67" s="481"/>
      <c r="F67" s="481"/>
      <c r="G67" s="481"/>
      <c r="H67" s="481"/>
      <c r="I67" s="481"/>
      <c r="J67" s="481"/>
      <c r="K67" s="481"/>
      <c r="L67" s="481"/>
      <c r="M67" s="481"/>
      <c r="N67" s="481"/>
      <c r="O67" s="481"/>
      <c r="P67" s="481"/>
      <c r="Q67" s="481"/>
      <c r="R67" s="1107"/>
      <c r="S67" s="1107"/>
      <c r="T67" s="481"/>
      <c r="U67" s="701"/>
      <c r="V67" s="1174"/>
      <c r="W67" s="1174"/>
      <c r="X67" s="1174"/>
      <c r="Y67" s="1174"/>
      <c r="Z67" s="1174"/>
      <c r="AA67" s="1174"/>
      <c r="AB67" s="1174"/>
      <c r="AC67" s="1174"/>
      <c r="AD67" s="1174"/>
      <c r="AE67" s="1174"/>
      <c r="AF67" s="1174"/>
      <c r="AG67" s="1174"/>
      <c r="AH67" s="1174"/>
      <c r="AI67" s="1174"/>
      <c r="AJ67" s="1174"/>
      <c r="AK67" s="1174"/>
      <c r="AL67" s="1174"/>
      <c r="AM67" s="15"/>
      <c r="AN67" s="621"/>
    </row>
    <row r="68" spans="1:42" x14ac:dyDescent="0.2">
      <c r="A68" s="615">
        <f t="shared" si="2"/>
        <v>61</v>
      </c>
      <c r="B68" s="617"/>
      <c r="C68" s="113"/>
      <c r="T68" s="481"/>
      <c r="U68" s="701"/>
      <c r="V68" s="484" t="s">
        <v>536</v>
      </c>
      <c r="W68" s="481"/>
      <c r="X68" s="481"/>
      <c r="Y68" s="481"/>
      <c r="Z68" s="842" t="s">
        <v>749</v>
      </c>
      <c r="AA68" s="481"/>
      <c r="AB68" s="481"/>
      <c r="AC68" s="485" t="s">
        <v>537</v>
      </c>
      <c r="AE68" s="481"/>
      <c r="AF68" s="481"/>
      <c r="AG68" s="481"/>
      <c r="AH68" s="481"/>
      <c r="AI68" s="481"/>
      <c r="AJ68" s="1063"/>
      <c r="AK68" s="1063"/>
      <c r="AL68" s="1063"/>
      <c r="AM68" s="15"/>
      <c r="AN68" s="621"/>
    </row>
    <row r="69" spans="1:42" ht="12.75" customHeight="1" x14ac:dyDescent="0.2">
      <c r="A69" s="615">
        <f t="shared" si="2"/>
        <v>62</v>
      </c>
      <c r="B69" s="617"/>
      <c r="C69" s="113"/>
      <c r="T69" s="481"/>
      <c r="U69" s="701"/>
      <c r="V69" s="475"/>
      <c r="W69" s="481"/>
      <c r="X69" s="481"/>
      <c r="Y69" s="481"/>
      <c r="Z69" s="481"/>
      <c r="AA69" s="481"/>
      <c r="AB69" s="481"/>
      <c r="AC69" s="485" t="s">
        <v>538</v>
      </c>
      <c r="AE69" s="481"/>
      <c r="AF69" s="481"/>
      <c r="AG69" s="481"/>
      <c r="AH69" s="481"/>
      <c r="AI69" s="481"/>
      <c r="AJ69" s="1052"/>
      <c r="AK69" s="1052"/>
      <c r="AL69" s="1052"/>
      <c r="AM69" s="15"/>
      <c r="AN69" s="621"/>
    </row>
    <row r="70" spans="1:42" ht="12.75" customHeight="1" x14ac:dyDescent="0.2">
      <c r="A70" s="615"/>
      <c r="B70" s="566"/>
      <c r="C70" s="113"/>
      <c r="T70" s="481"/>
      <c r="U70" s="701"/>
      <c r="V70" s="484" t="s">
        <v>539</v>
      </c>
      <c r="W70" s="481"/>
      <c r="X70" s="481"/>
      <c r="Y70" s="481"/>
      <c r="Z70" s="481"/>
      <c r="AA70" s="481"/>
      <c r="AB70" s="481"/>
      <c r="AC70" s="481"/>
      <c r="AD70" s="481"/>
      <c r="AE70" s="481"/>
      <c r="AF70" s="481"/>
      <c r="AG70" s="481"/>
      <c r="AH70" s="481"/>
      <c r="AI70" s="481"/>
      <c r="AJ70" s="1052"/>
      <c r="AK70" s="1052"/>
      <c r="AL70" s="1052"/>
      <c r="AM70" s="15"/>
      <c r="AN70" s="610"/>
    </row>
    <row r="71" spans="1:42" ht="3" customHeight="1" x14ac:dyDescent="0.2">
      <c r="A71" s="837"/>
      <c r="B71" s="665"/>
      <c r="C71" s="666"/>
      <c r="D71" s="102"/>
      <c r="E71" s="102"/>
      <c r="F71" s="102"/>
      <c r="G71" s="102"/>
      <c r="H71" s="102"/>
      <c r="I71" s="102"/>
      <c r="J71" s="102"/>
      <c r="K71" s="102"/>
      <c r="L71" s="102"/>
      <c r="M71" s="102"/>
      <c r="N71" s="102"/>
      <c r="O71" s="102"/>
      <c r="P71" s="102"/>
      <c r="Q71" s="102"/>
      <c r="R71" s="102"/>
      <c r="S71" s="102"/>
      <c r="T71" s="666"/>
      <c r="U71" s="817"/>
      <c r="V71" s="666"/>
      <c r="W71" s="666"/>
      <c r="X71" s="666"/>
      <c r="Y71" s="666"/>
      <c r="Z71" s="666"/>
      <c r="AA71" s="666"/>
      <c r="AB71" s="666"/>
      <c r="AC71" s="666"/>
      <c r="AD71" s="666"/>
      <c r="AE71" s="666"/>
      <c r="AF71" s="666"/>
      <c r="AG71" s="666"/>
      <c r="AH71" s="666"/>
      <c r="AI71" s="666"/>
      <c r="AJ71" s="666"/>
      <c r="AK71" s="666"/>
      <c r="AL71" s="666"/>
      <c r="AM71" s="37"/>
      <c r="AN71" s="610"/>
      <c r="AP71" s="458"/>
    </row>
    <row r="72" spans="1:42" ht="12.75" customHeight="1" x14ac:dyDescent="0.2">
      <c r="A72" s="667"/>
      <c r="B72" s="143"/>
      <c r="C72" s="19"/>
      <c r="D72" s="668"/>
      <c r="E72" s="668"/>
      <c r="F72" s="668"/>
      <c r="G72" s="668"/>
      <c r="H72" s="668"/>
      <c r="I72" s="668"/>
      <c r="J72" s="668"/>
      <c r="K72" s="668"/>
      <c r="L72" s="668"/>
      <c r="M72" s="668"/>
      <c r="N72" s="668"/>
      <c r="O72" s="668"/>
      <c r="P72" s="668"/>
      <c r="Q72" s="668"/>
      <c r="R72" s="668"/>
      <c r="S72" s="143"/>
      <c r="T72" s="668"/>
      <c r="U72" s="668"/>
      <c r="V72" s="668"/>
      <c r="W72" s="668"/>
      <c r="X72" s="668"/>
      <c r="Y72" s="668"/>
      <c r="Z72" s="668"/>
      <c r="AA72" s="668"/>
      <c r="AB72" s="668"/>
      <c r="AC72" s="668"/>
      <c r="AD72" s="19"/>
      <c r="AE72" s="668"/>
      <c r="AF72" s="668"/>
      <c r="AG72" s="668"/>
      <c r="AH72" s="668"/>
      <c r="AI72" s="668"/>
      <c r="AJ72" s="668"/>
      <c r="AK72" s="668"/>
      <c r="AL72" s="143"/>
      <c r="AM72" s="141"/>
      <c r="AN72" s="669"/>
      <c r="AP72" s="462"/>
    </row>
    <row r="73" spans="1:42" ht="12.75" customHeight="1" x14ac:dyDescent="0.2">
      <c r="A73" s="100"/>
      <c r="B73" s="112"/>
      <c r="C73" s="104" t="s">
        <v>12</v>
      </c>
      <c r="D73" s="104"/>
      <c r="E73" s="104"/>
      <c r="F73" s="104"/>
      <c r="G73" s="104"/>
      <c r="H73" s="104"/>
      <c r="I73" s="1150"/>
      <c r="J73" s="1150"/>
      <c r="K73" s="1150"/>
      <c r="L73" s="1150"/>
      <c r="M73" s="1150"/>
      <c r="N73" s="1150"/>
      <c r="O73" s="1150"/>
      <c r="P73" s="1150"/>
      <c r="Q73" s="1150"/>
      <c r="R73" s="1150"/>
      <c r="S73" s="1150"/>
      <c r="T73" s="1150"/>
      <c r="W73" s="104" t="s">
        <v>48</v>
      </c>
      <c r="X73" s="104"/>
      <c r="Y73" s="1114"/>
      <c r="Z73" s="1114"/>
      <c r="AE73" s="292" t="s">
        <v>271</v>
      </c>
      <c r="AF73" s="292"/>
      <c r="AG73" s="292"/>
      <c r="AH73" s="1113"/>
      <c r="AI73" s="1113"/>
      <c r="AJ73" s="258" t="s">
        <v>269</v>
      </c>
      <c r="AK73" s="1101" t="str">
        <f>IF(C_PageNo_Total=0,"",C_PageNo_Total)</f>
        <v/>
      </c>
      <c r="AL73" s="1101"/>
      <c r="AM73" s="291"/>
      <c r="AN73" s="670"/>
      <c r="AP73" s="462"/>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1"/>
      <c r="AP74" s="458"/>
    </row>
    <row r="75" spans="1:42" ht="12.75" customHeight="1" x14ac:dyDescent="0.2">
      <c r="AP75" s="458"/>
    </row>
    <row r="76" spans="1:42" x14ac:dyDescent="0.2">
      <c r="AP76" s="458"/>
    </row>
    <row r="77" spans="1:42" x14ac:dyDescent="0.2">
      <c r="AP77" s="458"/>
    </row>
    <row r="78" spans="1:42" x14ac:dyDescent="0.2">
      <c r="AP78" s="458"/>
    </row>
    <row r="79" spans="1:42" x14ac:dyDescent="0.2">
      <c r="AP79" s="458"/>
    </row>
    <row r="80" spans="1:42" x14ac:dyDescent="0.2">
      <c r="AP80" s="458"/>
    </row>
    <row r="81" spans="42:42" x14ac:dyDescent="0.2">
      <c r="AP81" s="458"/>
    </row>
    <row r="82" spans="42:42" x14ac:dyDescent="0.2">
      <c r="AP82" s="458"/>
    </row>
    <row r="83" spans="42:42" x14ac:dyDescent="0.2">
      <c r="AP83" s="458"/>
    </row>
    <row r="84" spans="42:42" x14ac:dyDescent="0.2">
      <c r="AP84" s="458"/>
    </row>
    <row r="85" spans="42:42" x14ac:dyDescent="0.2">
      <c r="AP85" s="458"/>
    </row>
    <row r="86" spans="42:42" x14ac:dyDescent="0.2">
      <c r="AP86" s="458"/>
    </row>
    <row r="87" spans="42:42" x14ac:dyDescent="0.2">
      <c r="AP87" s="458"/>
    </row>
    <row r="88" spans="42:42" x14ac:dyDescent="0.2">
      <c r="AP88" s="458"/>
    </row>
    <row r="89" spans="42:42" x14ac:dyDescent="0.2">
      <c r="AP89" s="458"/>
    </row>
    <row r="90" spans="42:42" x14ac:dyDescent="0.2">
      <c r="AP90" s="458"/>
    </row>
    <row r="91" spans="42:42" x14ac:dyDescent="0.2">
      <c r="AP91" s="458"/>
    </row>
    <row r="92" spans="42:42" x14ac:dyDescent="0.2">
      <c r="AP92" s="458"/>
    </row>
    <row r="93" spans="42:42" x14ac:dyDescent="0.2">
      <c r="AP93" s="458"/>
    </row>
    <row r="94" spans="42:42" x14ac:dyDescent="0.2">
      <c r="AP94" s="458"/>
    </row>
    <row r="95" spans="42:42" x14ac:dyDescent="0.2">
      <c r="AP95" s="458"/>
    </row>
    <row r="96" spans="42:42" x14ac:dyDescent="0.2">
      <c r="AP96" s="458"/>
    </row>
    <row r="97" spans="42:42" x14ac:dyDescent="0.2">
      <c r="AP97" s="458"/>
    </row>
    <row r="98" spans="42:42" x14ac:dyDescent="0.2">
      <c r="AP98" s="458"/>
    </row>
    <row r="99" spans="42:42" x14ac:dyDescent="0.2">
      <c r="AP99" s="458"/>
    </row>
    <row r="100" spans="42:42" x14ac:dyDescent="0.2">
      <c r="AP100" s="458"/>
    </row>
    <row r="101" spans="42:42" x14ac:dyDescent="0.2">
      <c r="AP101" s="458"/>
    </row>
    <row r="102" spans="42:42" x14ac:dyDescent="0.2">
      <c r="AP102" s="458"/>
    </row>
    <row r="103" spans="42:42" x14ac:dyDescent="0.2">
      <c r="AP103" s="458"/>
    </row>
    <row r="104" spans="42:42" x14ac:dyDescent="0.2">
      <c r="AP104" s="458"/>
    </row>
    <row r="105" spans="42:42" x14ac:dyDescent="0.2">
      <c r="AP105" s="458"/>
    </row>
    <row r="106" spans="42:42" x14ac:dyDescent="0.2">
      <c r="AP106" s="458"/>
    </row>
    <row r="107" spans="42:42" x14ac:dyDescent="0.2">
      <c r="AP107" s="458"/>
    </row>
    <row r="108" spans="42:42" x14ac:dyDescent="0.2">
      <c r="AP108" s="458"/>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79" customWidth="1"/>
    <col min="43" max="43" width="13.42578125" style="579" customWidth="1"/>
    <col min="44" max="44" width="20.140625" style="579"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22"/>
      <c r="K4" s="1223"/>
      <c r="L4" s="1223"/>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24"/>
      <c r="G5" s="1225"/>
      <c r="H5" s="1225"/>
      <c r="I5" s="1225"/>
      <c r="J5" s="1225"/>
      <c r="K5" s="1225"/>
      <c r="L5" s="1225"/>
      <c r="M5" s="1225"/>
      <c r="N5" s="1225"/>
      <c r="O5" s="1225"/>
      <c r="P5" s="1225"/>
      <c r="Q5" s="1225"/>
      <c r="R5" s="1225"/>
      <c r="S5" s="1225"/>
      <c r="T5" s="1225"/>
      <c r="U5" s="1225"/>
      <c r="V5" s="1225"/>
      <c r="W5" s="1225"/>
      <c r="X5" s="1225"/>
      <c r="Y5" s="1225"/>
      <c r="Z5" s="1225"/>
      <c r="AA5" s="1225"/>
      <c r="AB5" s="1225"/>
      <c r="AC5" s="1225"/>
      <c r="AD5" s="1225"/>
      <c r="AE5" s="1225"/>
      <c r="AF5" s="1225"/>
      <c r="AG5" s="1225"/>
      <c r="AH5" s="1225"/>
      <c r="AI5" s="1225"/>
      <c r="AJ5" s="1225"/>
      <c r="AK5" s="1225"/>
      <c r="AL5" s="1225"/>
      <c r="AM5" s="6"/>
      <c r="AN5" s="207"/>
    </row>
    <row r="6" spans="1:44" x14ac:dyDescent="0.2">
      <c r="A6" s="107">
        <f>A5+1</f>
        <v>3</v>
      </c>
      <c r="B6" s="107"/>
      <c r="C6" s="6"/>
      <c r="D6" s="6"/>
      <c r="E6" s="21"/>
      <c r="F6" s="1228"/>
      <c r="G6" s="1228"/>
      <c r="H6" s="1228"/>
      <c r="I6" s="1228"/>
      <c r="J6" s="1228"/>
      <c r="K6" s="1228"/>
      <c r="L6" s="1228"/>
      <c r="M6" s="1228"/>
      <c r="N6" s="1228"/>
      <c r="O6" s="1228"/>
      <c r="P6" s="1228"/>
      <c r="Q6" s="1228"/>
      <c r="R6" s="1228"/>
      <c r="S6" s="1228"/>
      <c r="T6" s="1228"/>
      <c r="U6" s="1228"/>
      <c r="V6" s="1228"/>
      <c r="W6" s="1228"/>
      <c r="X6" s="1228"/>
      <c r="Y6" s="1228"/>
      <c r="Z6" s="1228"/>
      <c r="AA6" s="1228"/>
      <c r="AB6" s="1228"/>
      <c r="AC6" s="1228"/>
      <c r="AD6" s="1228"/>
      <c r="AE6" s="1228"/>
      <c r="AF6" s="1228"/>
      <c r="AG6" s="1228"/>
      <c r="AH6" s="1228"/>
      <c r="AI6" s="1228"/>
      <c r="AJ6" s="1228"/>
      <c r="AK6" s="1228"/>
      <c r="AL6" s="1228"/>
      <c r="AM6" s="6"/>
      <c r="AN6" s="188"/>
    </row>
    <row r="7" spans="1:44" x14ac:dyDescent="0.2">
      <c r="A7" s="107">
        <f>A6+1</f>
        <v>4</v>
      </c>
      <c r="B7" s="168"/>
      <c r="C7" s="173"/>
      <c r="D7" s="422"/>
      <c r="E7" s="153"/>
      <c r="F7" s="1227"/>
      <c r="G7" s="1227"/>
      <c r="H7" s="1227"/>
      <c r="I7" s="1227"/>
      <c r="J7" s="1227"/>
      <c r="K7" s="1227"/>
      <c r="L7" s="1227"/>
      <c r="M7" s="1227"/>
      <c r="N7" s="1227"/>
      <c r="O7" s="1227"/>
      <c r="P7" s="1227"/>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6"/>
      <c r="AN7" s="208"/>
      <c r="AP7" s="588"/>
      <c r="AQ7" s="586"/>
      <c r="AR7" s="583"/>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5"/>
      <c r="AQ8" s="586"/>
      <c r="AR8" s="583"/>
    </row>
    <row r="9" spans="1:44" x14ac:dyDescent="0.2">
      <c r="A9" s="615">
        <f>A8+1</f>
        <v>6</v>
      </c>
      <c r="B9" s="167"/>
      <c r="C9" s="1139" t="s">
        <v>75</v>
      </c>
      <c r="D9" s="1160"/>
      <c r="E9" s="1160"/>
      <c r="F9" s="1160"/>
      <c r="G9" s="1160"/>
      <c r="H9" s="1160"/>
      <c r="I9" s="1160"/>
      <c r="J9" s="1160"/>
      <c r="K9" s="1160"/>
      <c r="L9" s="1160"/>
      <c r="M9" s="1160"/>
      <c r="N9" s="1160"/>
      <c r="O9" s="1160"/>
      <c r="P9" s="1160"/>
      <c r="Q9" s="1160"/>
      <c r="R9" s="1160"/>
      <c r="S9" s="1160"/>
      <c r="T9" s="1089"/>
      <c r="U9" s="1139" t="s">
        <v>76</v>
      </c>
      <c r="V9" s="1160"/>
      <c r="W9" s="1160"/>
      <c r="X9" s="1160"/>
      <c r="Y9" s="1160"/>
      <c r="Z9" s="1160"/>
      <c r="AA9" s="1160"/>
      <c r="AB9" s="1160"/>
      <c r="AC9" s="1160"/>
      <c r="AD9" s="1160"/>
      <c r="AE9" s="1160"/>
      <c r="AF9" s="1160"/>
      <c r="AG9" s="1160"/>
      <c r="AH9" s="1160"/>
      <c r="AI9" s="1160"/>
      <c r="AJ9" s="1160"/>
      <c r="AK9" s="1160"/>
      <c r="AL9" s="1160"/>
      <c r="AM9" s="1089"/>
      <c r="AN9" s="189"/>
      <c r="AP9" s="585"/>
      <c r="AQ9" s="586"/>
      <c r="AR9" s="583"/>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9"/>
      <c r="AH10" s="1229"/>
      <c r="AI10" s="1229"/>
      <c r="AJ10" s="1229"/>
      <c r="AK10" s="1229"/>
      <c r="AL10" s="6"/>
      <c r="AM10" s="6"/>
      <c r="AN10" s="189"/>
      <c r="AP10" s="583"/>
      <c r="AQ10" s="586"/>
      <c r="AR10" s="583"/>
    </row>
    <row r="11" spans="1:44" x14ac:dyDescent="0.2">
      <c r="A11" s="107">
        <f t="shared" si="0"/>
        <v>8</v>
      </c>
      <c r="B11" s="167"/>
      <c r="C11" s="6"/>
      <c r="D11" s="226" t="s">
        <v>711</v>
      </c>
      <c r="E11" s="6"/>
      <c r="F11" s="6"/>
      <c r="G11" s="6"/>
      <c r="H11" s="173"/>
      <c r="I11" s="420"/>
      <c r="J11" s="420"/>
      <c r="K11" s="420"/>
      <c r="L11" s="36"/>
      <c r="M11" s="1211"/>
      <c r="N11" s="1211"/>
      <c r="O11" s="374" t="str">
        <f ca="1">Units!$B$26</f>
        <v>lbf</v>
      </c>
      <c r="P11" s="420"/>
      <c r="Q11" s="1211"/>
      <c r="R11" s="1211"/>
      <c r="S11" s="374" t="str">
        <f ca="1">Units!$B$26</f>
        <v>lbf</v>
      </c>
      <c r="T11" s="29"/>
      <c r="U11" s="20"/>
      <c r="V11" s="6" t="s">
        <v>82</v>
      </c>
      <c r="W11" s="6"/>
      <c r="X11" s="6"/>
      <c r="Y11" s="6"/>
      <c r="Z11" s="6"/>
      <c r="AA11" s="6"/>
      <c r="AB11" s="420"/>
      <c r="AC11" s="420"/>
      <c r="AG11" s="6"/>
      <c r="AH11" s="6"/>
      <c r="AI11" s="6"/>
      <c r="AJ11" s="6"/>
      <c r="AK11" s="421"/>
      <c r="AL11" s="374" t="str">
        <f ca="1">Units!$B$13</f>
        <v>in.</v>
      </c>
      <c r="AM11" s="6"/>
      <c r="AN11" s="189"/>
      <c r="AP11" s="585"/>
      <c r="AQ11" s="586"/>
      <c r="AR11" s="583"/>
    </row>
    <row r="12" spans="1:44" x14ac:dyDescent="0.2">
      <c r="A12" s="107">
        <f t="shared" si="0"/>
        <v>9</v>
      </c>
      <c r="B12" s="167"/>
      <c r="C12" s="6"/>
      <c r="D12" s="6" t="s">
        <v>81</v>
      </c>
      <c r="E12" s="6"/>
      <c r="F12" s="21"/>
      <c r="G12" s="21"/>
      <c r="H12" s="21"/>
      <c r="I12" s="420"/>
      <c r="J12" s="420"/>
      <c r="K12" s="420"/>
      <c r="L12" s="36"/>
      <c r="M12" s="1211"/>
      <c r="N12" s="1211"/>
      <c r="O12" s="374" t="str">
        <f ca="1">Units!$B$26</f>
        <v>lbf</v>
      </c>
      <c r="P12" s="420"/>
      <c r="Q12" s="1211"/>
      <c r="R12" s="1211"/>
      <c r="S12" s="374" t="str">
        <f ca="1">Units!$B$26</f>
        <v>lbf</v>
      </c>
      <c r="T12" s="29"/>
      <c r="V12" s="6" t="s">
        <v>83</v>
      </c>
      <c r="AK12" s="430"/>
      <c r="AL12" s="374" t="str">
        <f ca="1">Units!$B$13</f>
        <v>in.</v>
      </c>
      <c r="AM12" s="6"/>
      <c r="AN12" s="189"/>
      <c r="AP12" s="583"/>
      <c r="AQ12" s="586"/>
      <c r="AR12" s="583"/>
    </row>
    <row r="13" spans="1:44" x14ac:dyDescent="0.2">
      <c r="A13" s="107">
        <f t="shared" si="0"/>
        <v>10</v>
      </c>
      <c r="B13" s="167"/>
      <c r="C13" s="6"/>
      <c r="D13" s="6" t="s">
        <v>84</v>
      </c>
      <c r="E13" s="6"/>
      <c r="F13" s="6"/>
      <c r="G13" s="6"/>
      <c r="H13" s="173"/>
      <c r="I13" s="420"/>
      <c r="J13" s="420"/>
      <c r="K13" s="420"/>
      <c r="L13" s="36"/>
      <c r="M13" s="1211"/>
      <c r="N13" s="1211"/>
      <c r="O13" s="374" t="str">
        <f ca="1">Units!$B$26</f>
        <v>lbf</v>
      </c>
      <c r="P13" s="420"/>
      <c r="Q13" s="1211"/>
      <c r="R13" s="1211"/>
      <c r="S13" s="374" t="str">
        <f ca="1">Units!$B$26</f>
        <v>lbf</v>
      </c>
      <c r="T13" s="29"/>
      <c r="U13" s="35" t="s">
        <v>85</v>
      </c>
      <c r="V13" s="117"/>
      <c r="W13" s="6"/>
      <c r="X13" s="6"/>
      <c r="Y13" s="6"/>
      <c r="Z13" s="6"/>
      <c r="AA13" s="6"/>
      <c r="AB13" s="36"/>
      <c r="AC13" s="36"/>
      <c r="AD13" s="36"/>
      <c r="AE13" s="36"/>
      <c r="AF13" s="36"/>
      <c r="AL13" s="373"/>
      <c r="AM13" s="6"/>
      <c r="AN13" s="189"/>
      <c r="AP13" s="585"/>
      <c r="AQ13" s="586"/>
      <c r="AR13" s="583"/>
    </row>
    <row r="14" spans="1:44" x14ac:dyDescent="0.2">
      <c r="A14" s="107">
        <f t="shared" si="0"/>
        <v>11</v>
      </c>
      <c r="B14" s="167"/>
      <c r="C14" s="6"/>
      <c r="D14" s="6" t="s">
        <v>86</v>
      </c>
      <c r="E14" s="6"/>
      <c r="F14" s="6"/>
      <c r="G14" s="6"/>
      <c r="H14" s="173"/>
      <c r="I14" s="420"/>
      <c r="J14" s="420"/>
      <c r="K14" s="420"/>
      <c r="L14" s="36"/>
      <c r="M14" s="1211"/>
      <c r="N14" s="1211"/>
      <c r="O14" s="374" t="str">
        <f ca="1">Units!$B$26</f>
        <v>lbf</v>
      </c>
      <c r="P14" s="420"/>
      <c r="Q14" s="1211"/>
      <c r="R14" s="1211"/>
      <c r="S14" s="374" t="str">
        <f ca="1">Units!$B$26</f>
        <v>lbf</v>
      </c>
      <c r="T14" s="29"/>
      <c r="U14" s="6"/>
      <c r="V14" s="587" t="s">
        <v>607</v>
      </c>
      <c r="W14" s="35"/>
      <c r="X14" s="6"/>
      <c r="Y14" s="6"/>
      <c r="Z14" s="6"/>
      <c r="AA14" s="21"/>
      <c r="AB14" s="21"/>
      <c r="AC14" s="21"/>
      <c r="AD14" s="26"/>
      <c r="AE14" s="21"/>
      <c r="AF14" s="21"/>
      <c r="AG14" s="1054"/>
      <c r="AH14" s="1054"/>
      <c r="AI14" s="1054"/>
      <c r="AJ14" s="1054"/>
      <c r="AK14" s="1054"/>
      <c r="AL14" s="373"/>
      <c r="AM14" s="6"/>
      <c r="AN14" s="189"/>
      <c r="AP14" s="583"/>
      <c r="AQ14" s="586"/>
      <c r="AR14" s="583"/>
    </row>
    <row r="15" spans="1:44" x14ac:dyDescent="0.2">
      <c r="A15" s="107">
        <f t="shared" si="0"/>
        <v>12</v>
      </c>
      <c r="B15" s="167"/>
      <c r="D15" s="6" t="s">
        <v>87</v>
      </c>
      <c r="E15" s="821"/>
      <c r="F15" s="821"/>
      <c r="G15" s="821"/>
      <c r="H15" s="821"/>
      <c r="I15" s="821"/>
      <c r="J15" s="821"/>
      <c r="K15" s="821"/>
      <c r="L15" s="821"/>
      <c r="M15" s="1211"/>
      <c r="N15" s="1211"/>
      <c r="O15" s="374" t="str">
        <f ca="1">Units!$B$26</f>
        <v>lbf</v>
      </c>
      <c r="P15" s="420"/>
      <c r="Q15" s="1211"/>
      <c r="R15" s="1211"/>
      <c r="S15" s="374" t="str">
        <f ca="1">Units!$B$26</f>
        <v>lbf</v>
      </c>
      <c r="T15" s="29"/>
      <c r="U15" s="20"/>
      <c r="AG15" s="545"/>
      <c r="AH15" s="545"/>
      <c r="AI15" s="545"/>
      <c r="AJ15" s="545"/>
      <c r="AK15" s="545"/>
      <c r="AM15" s="6"/>
      <c r="AN15" s="189"/>
      <c r="AP15" s="585"/>
      <c r="AQ15" s="586"/>
      <c r="AR15" s="583"/>
    </row>
    <row r="16" spans="1:44" x14ac:dyDescent="0.2">
      <c r="A16" s="107">
        <f t="shared" si="0"/>
        <v>13</v>
      </c>
      <c r="B16" s="167"/>
      <c r="D16" s="6" t="s">
        <v>627</v>
      </c>
      <c r="Q16" s="1081"/>
      <c r="R16" s="1081"/>
      <c r="T16" s="29"/>
      <c r="U16" s="6"/>
      <c r="V16" s="20" t="s">
        <v>140</v>
      </c>
      <c r="W16" s="6" t="s">
        <v>92</v>
      </c>
      <c r="X16" s="21"/>
      <c r="Y16" s="21"/>
      <c r="Z16" s="21"/>
      <c r="AA16" s="21"/>
      <c r="AB16" s="21"/>
      <c r="AC16" s="117"/>
      <c r="AD16" s="247"/>
      <c r="AE16" s="247"/>
      <c r="AF16" s="247"/>
      <c r="AG16" s="1212"/>
      <c r="AH16" s="1212"/>
      <c r="AI16" s="1212"/>
      <c r="AJ16" s="1212"/>
      <c r="AK16" s="1212"/>
      <c r="AL16" s="374"/>
      <c r="AM16" s="6"/>
      <c r="AN16" s="189"/>
      <c r="AP16" s="583"/>
      <c r="AQ16" s="586"/>
      <c r="AR16" s="583"/>
    </row>
    <row r="17" spans="1:44" x14ac:dyDescent="0.2">
      <c r="A17" s="107">
        <f t="shared" si="0"/>
        <v>14</v>
      </c>
      <c r="B17" s="167"/>
      <c r="C17" s="20"/>
      <c r="D17" s="6" t="s">
        <v>628</v>
      </c>
      <c r="E17" s="6"/>
      <c r="F17" s="6"/>
      <c r="G17" s="6"/>
      <c r="H17" s="173"/>
      <c r="I17" s="420"/>
      <c r="J17" s="420"/>
      <c r="K17" s="420"/>
      <c r="L17" s="36"/>
      <c r="M17" s="1211"/>
      <c r="N17" s="1211"/>
      <c r="O17" s="374" t="str">
        <f ca="1">Units!$B$12</f>
        <v>ft</v>
      </c>
      <c r="P17" s="371" t="s">
        <v>176</v>
      </c>
      <c r="Q17" s="1211"/>
      <c r="R17" s="1211"/>
      <c r="S17" s="374" t="str">
        <f ca="1">Units!$B$12</f>
        <v>ft</v>
      </c>
      <c r="T17" s="29"/>
      <c r="U17" s="6"/>
      <c r="V17" s="20" t="s">
        <v>140</v>
      </c>
      <c r="W17" s="585" t="s">
        <v>609</v>
      </c>
      <c r="AB17" s="21"/>
      <c r="AC17" s="21"/>
      <c r="AD17" s="21"/>
      <c r="AE17" s="26"/>
      <c r="AF17" s="1054"/>
      <c r="AG17" s="1054"/>
      <c r="AH17" s="1054"/>
      <c r="AI17" s="1054"/>
      <c r="AJ17" s="1054"/>
      <c r="AK17" s="1054"/>
      <c r="AL17" s="374"/>
      <c r="AM17" s="6"/>
      <c r="AN17" s="189"/>
      <c r="AP17" s="585"/>
      <c r="AQ17" s="586"/>
      <c r="AR17" s="583"/>
    </row>
    <row r="18" spans="1:44" x14ac:dyDescent="0.2">
      <c r="A18" s="107">
        <f t="shared" si="0"/>
        <v>15</v>
      </c>
      <c r="B18" s="167"/>
      <c r="C18" s="20"/>
      <c r="D18" s="6" t="s">
        <v>89</v>
      </c>
      <c r="E18" s="6"/>
      <c r="F18" s="6"/>
      <c r="G18" s="6"/>
      <c r="H18" s="6"/>
      <c r="I18" s="6"/>
      <c r="J18" s="21"/>
      <c r="K18" s="251"/>
      <c r="L18" s="251"/>
      <c r="M18" s="251"/>
      <c r="N18" s="251"/>
      <c r="O18" s="36"/>
      <c r="P18" s="21"/>
      <c r="Q18" s="1211"/>
      <c r="R18" s="1211"/>
      <c r="S18" s="374" t="str">
        <f ca="1">Units!$B$13</f>
        <v>in.</v>
      </c>
      <c r="T18" s="29"/>
      <c r="U18" s="117"/>
      <c r="V18" s="6" t="s">
        <v>94</v>
      </c>
      <c r="W18" s="36"/>
      <c r="X18" s="6"/>
      <c r="Y18" s="6"/>
      <c r="Z18" s="6"/>
      <c r="AA18" s="21"/>
      <c r="AB18" s="21"/>
      <c r="AC18" s="21"/>
      <c r="AD18" s="21"/>
      <c r="AE18" s="21"/>
      <c r="AF18" s="36"/>
      <c r="AG18" s="812"/>
      <c r="AH18" s="812"/>
      <c r="AI18" s="812"/>
      <c r="AJ18" s="1081"/>
      <c r="AK18" s="1081"/>
      <c r="AL18" s="423"/>
      <c r="AM18" s="6"/>
      <c r="AN18" s="189"/>
      <c r="AP18" s="583"/>
      <c r="AQ18" s="586"/>
      <c r="AR18" s="583"/>
    </row>
    <row r="19" spans="1:44" x14ac:dyDescent="0.2">
      <c r="A19" s="107">
        <f t="shared" si="0"/>
        <v>16</v>
      </c>
      <c r="B19" s="167"/>
      <c r="D19" s="579" t="s">
        <v>605</v>
      </c>
      <c r="Q19" s="1103"/>
      <c r="R19" s="1103"/>
      <c r="T19" s="386"/>
      <c r="U19" s="117"/>
      <c r="V19" s="6" t="s">
        <v>814</v>
      </c>
      <c r="W19" s="36"/>
      <c r="X19" s="21"/>
      <c r="Y19" s="21"/>
      <c r="Z19" s="21"/>
      <c r="AA19" s="21"/>
      <c r="AB19" s="21"/>
      <c r="AC19" s="21"/>
      <c r="AD19" s="21"/>
      <c r="AE19" s="21"/>
      <c r="AF19" s="21"/>
      <c r="AG19" s="455"/>
      <c r="AH19" s="455"/>
      <c r="AI19" s="455"/>
      <c r="AJ19" s="1110"/>
      <c r="AK19" s="1110"/>
      <c r="AL19" s="6"/>
      <c r="AM19" s="6"/>
      <c r="AN19" s="189"/>
      <c r="AP19" s="585"/>
      <c r="AQ19" s="586"/>
      <c r="AR19" s="583"/>
    </row>
    <row r="20" spans="1:44" x14ac:dyDescent="0.2">
      <c r="A20" s="107">
        <f t="shared" si="0"/>
        <v>17</v>
      </c>
      <c r="B20" s="167"/>
      <c r="C20" s="35" t="s">
        <v>91</v>
      </c>
      <c r="D20" s="6"/>
      <c r="E20" s="6"/>
      <c r="F20" s="6"/>
      <c r="G20" s="6"/>
      <c r="H20" s="36"/>
      <c r="I20" s="36"/>
      <c r="J20" s="36"/>
      <c r="K20" s="36"/>
      <c r="L20" s="36"/>
      <c r="M20" s="1230"/>
      <c r="N20" s="1230"/>
      <c r="O20" s="1230"/>
      <c r="P20" s="1230"/>
      <c r="Q20" s="1230"/>
      <c r="R20" s="1230"/>
      <c r="S20" s="36"/>
      <c r="T20" s="386"/>
      <c r="U20" s="117"/>
      <c r="V20" s="6" t="s">
        <v>97</v>
      </c>
      <c r="W20" s="36"/>
      <c r="X20" s="21"/>
      <c r="Y20" s="21"/>
      <c r="Z20" s="21"/>
      <c r="AA20" s="21"/>
      <c r="AB20" s="21"/>
      <c r="AC20" s="21"/>
      <c r="AD20" s="21"/>
      <c r="AE20" s="21"/>
      <c r="AF20" s="36"/>
      <c r="AG20" s="455"/>
      <c r="AH20" s="455"/>
      <c r="AI20" s="455"/>
      <c r="AJ20" s="1081"/>
      <c r="AK20" s="1081"/>
      <c r="AL20" s="6"/>
      <c r="AM20" s="6"/>
      <c r="AN20" s="189"/>
      <c r="AP20" s="585"/>
      <c r="AQ20" s="586"/>
      <c r="AR20" s="583"/>
    </row>
    <row r="21" spans="1:44" x14ac:dyDescent="0.2">
      <c r="A21" s="107">
        <f t="shared" si="0"/>
        <v>18</v>
      </c>
      <c r="B21" s="167"/>
      <c r="C21" s="6"/>
      <c r="D21" s="585" t="s">
        <v>90</v>
      </c>
      <c r="E21" s="6"/>
      <c r="F21" s="21"/>
      <c r="G21" s="21"/>
      <c r="H21" s="21"/>
      <c r="I21" s="21"/>
      <c r="J21" s="21"/>
      <c r="K21" s="21"/>
      <c r="L21" s="21"/>
      <c r="M21" s="247"/>
      <c r="N21" s="247"/>
      <c r="O21" s="247"/>
      <c r="P21" s="561"/>
      <c r="Q21" s="561"/>
      <c r="R21" s="561"/>
      <c r="S21" s="374" t="str">
        <f ca="1">Units!$B$13</f>
        <v>in.</v>
      </c>
      <c r="T21" s="386"/>
      <c r="U21" s="117"/>
      <c r="V21" s="6" t="s">
        <v>810</v>
      </c>
      <c r="W21" s="36"/>
      <c r="X21" s="21"/>
      <c r="Y21" s="21"/>
      <c r="Z21" s="21"/>
      <c r="AA21" s="21"/>
      <c r="AB21" s="21"/>
      <c r="AC21" s="21"/>
      <c r="AD21" s="21"/>
      <c r="AE21" s="21"/>
      <c r="AF21" s="36"/>
      <c r="AG21" s="455"/>
      <c r="AH21" s="455"/>
      <c r="AI21" s="455"/>
      <c r="AJ21" s="1110"/>
      <c r="AK21" s="1110"/>
      <c r="AL21" s="6"/>
      <c r="AM21" s="6"/>
      <c r="AN21" s="189"/>
      <c r="AP21" s="585"/>
      <c r="AQ21" s="586"/>
      <c r="AR21" s="583"/>
    </row>
    <row r="22" spans="1:44" x14ac:dyDescent="0.2">
      <c r="A22" s="107">
        <f t="shared" si="0"/>
        <v>19</v>
      </c>
      <c r="B22" s="167"/>
      <c r="C22" s="6"/>
      <c r="D22" s="585" t="s">
        <v>88</v>
      </c>
      <c r="E22" s="6"/>
      <c r="F22" s="21"/>
      <c r="G22" s="21"/>
      <c r="H22" s="21"/>
      <c r="I22" s="21"/>
      <c r="J22" s="21"/>
      <c r="K22" s="21"/>
      <c r="L22" s="21"/>
      <c r="M22" s="247"/>
      <c r="N22" s="247"/>
      <c r="O22" s="247"/>
      <c r="P22" s="561"/>
      <c r="Q22" s="561"/>
      <c r="R22" s="561"/>
      <c r="S22" s="374" t="str">
        <f ca="1">Units!$B$12</f>
        <v>ft</v>
      </c>
      <c r="T22" s="386"/>
      <c r="U22" s="117"/>
      <c r="V22" s="855"/>
      <c r="W22" s="856"/>
      <c r="X22" s="857"/>
      <c r="Y22" s="857"/>
      <c r="Z22" s="857"/>
      <c r="AA22" s="857"/>
      <c r="AB22" s="857"/>
      <c r="AC22" s="857"/>
      <c r="AD22" s="857"/>
      <c r="AE22" s="857"/>
      <c r="AF22" s="856"/>
      <c r="AG22" s="858"/>
      <c r="AH22" s="858"/>
      <c r="AI22" s="858"/>
      <c r="AJ22"/>
      <c r="AK22"/>
      <c r="AL22" s="6"/>
      <c r="AM22" s="6"/>
      <c r="AN22" s="189"/>
      <c r="AP22" s="585"/>
      <c r="AQ22" s="586"/>
      <c r="AR22" s="583"/>
    </row>
    <row r="23" spans="1:44" x14ac:dyDescent="0.2">
      <c r="A23" s="107">
        <f t="shared" si="0"/>
        <v>20</v>
      </c>
      <c r="B23" s="167"/>
      <c r="C23" s="6"/>
      <c r="D23" s="586" t="s">
        <v>95</v>
      </c>
      <c r="E23" s="6"/>
      <c r="F23" s="21"/>
      <c r="G23" s="21"/>
      <c r="H23" s="21"/>
      <c r="I23" s="21"/>
      <c r="J23" s="21"/>
      <c r="K23" s="21"/>
      <c r="L23" s="21"/>
      <c r="M23" s="247"/>
      <c r="N23" s="247"/>
      <c r="O23" s="247"/>
      <c r="P23" s="561"/>
      <c r="Q23" s="561"/>
      <c r="R23" s="561"/>
      <c r="S23" s="374"/>
      <c r="T23" s="386"/>
      <c r="U23" s="117"/>
      <c r="V23" s="21" t="s">
        <v>99</v>
      </c>
      <c r="W23" s="126"/>
      <c r="X23" s="21"/>
      <c r="Y23" s="21"/>
      <c r="Z23" s="21"/>
      <c r="AA23" s="21"/>
      <c r="AB23" s="21"/>
      <c r="AC23" s="21"/>
      <c r="AD23" s="21"/>
      <c r="AE23" s="21"/>
      <c r="AF23" s="36"/>
      <c r="AG23" s="455"/>
      <c r="AH23" s="455"/>
      <c r="AI23" s="455"/>
      <c r="AJ23" s="1081"/>
      <c r="AK23" s="1081"/>
      <c r="AL23" s="6"/>
      <c r="AM23" s="6"/>
      <c r="AN23" s="189"/>
      <c r="AP23" s="585"/>
      <c r="AQ23" s="586"/>
      <c r="AR23" s="583"/>
    </row>
    <row r="24" spans="1:44" x14ac:dyDescent="0.2">
      <c r="A24" s="107">
        <f t="shared" si="0"/>
        <v>21</v>
      </c>
      <c r="B24" s="167"/>
      <c r="C24" s="6"/>
      <c r="D24" s="586" t="s">
        <v>606</v>
      </c>
      <c r="E24" s="6"/>
      <c r="F24" s="21"/>
      <c r="G24" s="21"/>
      <c r="H24" s="21"/>
      <c r="I24" s="21"/>
      <c r="J24" s="21"/>
      <c r="K24" s="21"/>
      <c r="L24" s="21"/>
      <c r="M24" s="247"/>
      <c r="N24" s="247"/>
      <c r="O24" s="247"/>
      <c r="P24" s="561"/>
      <c r="Q24" s="561"/>
      <c r="R24" s="561"/>
      <c r="S24" s="374" t="str">
        <f ca="1">Units!$B$12</f>
        <v>ft</v>
      </c>
      <c r="T24" s="386"/>
      <c r="U24" s="560" t="s">
        <v>608</v>
      </c>
      <c r="AL24" s="6"/>
      <c r="AM24" s="6"/>
      <c r="AN24" s="189"/>
      <c r="AP24" s="585"/>
      <c r="AQ24" s="586"/>
      <c r="AR24" s="583"/>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1"/>
      <c r="AH25" s="591"/>
      <c r="AI25" s="592" t="s">
        <v>604</v>
      </c>
      <c r="AJ25" s="1212"/>
      <c r="AK25" s="1212"/>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31"/>
      <c r="Q26" s="1231"/>
      <c r="R26" s="1231"/>
      <c r="S26" s="120"/>
      <c r="T26" s="29"/>
      <c r="U26" s="117"/>
      <c r="V26" s="36"/>
      <c r="W26" s="36"/>
      <c r="X26" s="36"/>
      <c r="Y26" s="36"/>
      <c r="Z26" s="36"/>
      <c r="AA26" s="36"/>
      <c r="AB26" s="36"/>
      <c r="AC26" s="36"/>
      <c r="AD26" s="36"/>
      <c r="AE26" s="36"/>
      <c r="AF26" s="36"/>
      <c r="AG26" s="36"/>
      <c r="AH26" s="36"/>
      <c r="AI26" s="593" t="s">
        <v>88</v>
      </c>
      <c r="AJ26" s="1212"/>
      <c r="AK26" s="1212"/>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12"/>
      <c r="Q27" s="1212"/>
      <c r="R27" s="1212"/>
      <c r="S27" s="374" t="str">
        <f ca="1">Units!$B$13</f>
        <v>in.</v>
      </c>
      <c r="T27" s="29"/>
      <c r="U27" s="117"/>
      <c r="AI27" s="593" t="s">
        <v>90</v>
      </c>
      <c r="AJ27" s="1212"/>
      <c r="AK27" s="1212"/>
      <c r="AL27" s="374" t="str">
        <f ca="1">Units!$B$13</f>
        <v>in.</v>
      </c>
      <c r="AM27" s="6"/>
      <c r="AN27" s="208"/>
    </row>
    <row r="28" spans="1:44" x14ac:dyDescent="0.2">
      <c r="A28" s="107">
        <f t="shared" si="0"/>
        <v>25</v>
      </c>
      <c r="B28" s="168"/>
      <c r="C28" s="468"/>
      <c r="D28" s="6" t="s">
        <v>98</v>
      </c>
      <c r="E28" s="6"/>
      <c r="F28" s="6"/>
      <c r="G28" s="6"/>
      <c r="H28" s="21"/>
      <c r="I28" s="21"/>
      <c r="J28" s="36"/>
      <c r="K28" s="36"/>
      <c r="L28" s="36"/>
      <c r="M28" s="36"/>
      <c r="N28" s="36"/>
      <c r="O28" s="36"/>
      <c r="P28" s="1054"/>
      <c r="Q28" s="1054"/>
      <c r="R28" s="1054"/>
      <c r="T28" s="29"/>
      <c r="U28" s="117"/>
      <c r="X28" s="840" t="s">
        <v>811</v>
      </c>
      <c r="AI28" s="593"/>
      <c r="AJ28" s="1110"/>
      <c r="AK28" s="1110"/>
      <c r="AL28" s="374"/>
      <c r="AM28" s="6"/>
      <c r="AN28" s="208"/>
    </row>
    <row r="29" spans="1:44" x14ac:dyDescent="0.2">
      <c r="A29" s="107">
        <f t="shared" si="0"/>
        <v>26</v>
      </c>
      <c r="B29" s="168"/>
      <c r="C29" s="468"/>
      <c r="D29" s="6"/>
      <c r="E29" s="6"/>
      <c r="F29" s="6"/>
      <c r="G29" s="6"/>
      <c r="H29" s="21"/>
      <c r="I29" s="21"/>
      <c r="J29" s="36"/>
      <c r="K29" s="36"/>
      <c r="L29" s="36"/>
      <c r="M29" s="36"/>
      <c r="N29" s="36"/>
      <c r="O29" s="36"/>
      <c r="P29" s="396"/>
      <c r="Q29" s="396"/>
      <c r="R29" s="396"/>
      <c r="T29" s="29"/>
      <c r="X29" s="840" t="s">
        <v>812</v>
      </c>
      <c r="AJ29" s="1110"/>
      <c r="AK29" s="1110"/>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10"/>
      <c r="AK30" s="1110"/>
      <c r="AL30" s="6"/>
      <c r="AM30" s="6"/>
      <c r="AN30" s="208"/>
      <c r="AP30" s="585"/>
      <c r="AQ30" s="586"/>
      <c r="AR30" s="583"/>
    </row>
    <row r="31" spans="1:44" x14ac:dyDescent="0.2">
      <c r="A31" s="107">
        <f>A30+1</f>
        <v>28</v>
      </c>
      <c r="B31" s="168"/>
      <c r="C31" s="20"/>
      <c r="T31" s="29"/>
      <c r="U31" s="585" t="s">
        <v>610</v>
      </c>
      <c r="V31" s="36"/>
      <c r="W31" s="36"/>
      <c r="X31" s="36"/>
      <c r="Y31" s="36"/>
      <c r="Z31" s="36"/>
      <c r="AA31" s="36"/>
      <c r="AB31" s="36"/>
      <c r="AC31" s="36"/>
      <c r="AD31" s="36"/>
      <c r="AE31" s="36"/>
      <c r="AF31" s="36"/>
      <c r="AG31" s="36"/>
      <c r="AH31" s="36"/>
      <c r="AI31" s="36"/>
      <c r="AJ31" s="1081"/>
      <c r="AK31" s="1081"/>
      <c r="AL31" s="6"/>
      <c r="AM31" s="6"/>
      <c r="AN31" s="208"/>
      <c r="AP31" s="585"/>
      <c r="AQ31" s="586"/>
      <c r="AR31" s="583"/>
    </row>
    <row r="32" spans="1:44" ht="4.9000000000000004" customHeight="1" x14ac:dyDescent="0.2">
      <c r="A32" s="107"/>
      <c r="B32" s="171"/>
      <c r="C32" s="18"/>
      <c r="D32" s="424"/>
      <c r="E32" s="18"/>
      <c r="F32" s="18"/>
      <c r="G32" s="18"/>
      <c r="H32" s="18"/>
      <c r="I32" s="424"/>
      <c r="J32" s="18"/>
      <c r="K32" s="118"/>
      <c r="L32" s="118"/>
      <c r="M32" s="118"/>
      <c r="N32" s="18"/>
      <c r="O32" s="18"/>
      <c r="P32" s="18"/>
      <c r="Q32" s="18"/>
      <c r="R32" s="18"/>
      <c r="S32" s="18"/>
      <c r="T32" s="425"/>
      <c r="U32" s="18"/>
      <c r="V32" s="36"/>
      <c r="W32" s="36"/>
      <c r="X32" s="36"/>
      <c r="Y32" s="36"/>
      <c r="Z32" s="36"/>
      <c r="AA32" s="36"/>
      <c r="AB32" s="36"/>
      <c r="AC32" s="36"/>
      <c r="AD32" s="36"/>
      <c r="AE32" s="36"/>
      <c r="AF32" s="36"/>
      <c r="AG32" s="36"/>
      <c r="AH32" s="25"/>
      <c r="AI32" s="18"/>
      <c r="AJ32" s="18"/>
      <c r="AK32" s="18"/>
      <c r="AL32" s="18"/>
      <c r="AM32" s="18"/>
      <c r="AN32" s="207"/>
      <c r="AP32" s="585"/>
      <c r="AQ32" s="586"/>
      <c r="AR32" s="583"/>
    </row>
    <row r="33" spans="1:44" x14ac:dyDescent="0.2">
      <c r="A33" s="107">
        <f>A31+1</f>
        <v>29</v>
      </c>
      <c r="B33" s="167"/>
      <c r="C33" s="1218" t="s">
        <v>100</v>
      </c>
      <c r="D33" s="1219"/>
      <c r="E33" s="1219"/>
      <c r="F33" s="1219"/>
      <c r="G33" s="1219"/>
      <c r="H33" s="1219"/>
      <c r="I33" s="1219"/>
      <c r="J33" s="1219"/>
      <c r="K33" s="1219"/>
      <c r="L33" s="1219"/>
      <c r="M33" s="1219"/>
      <c r="N33" s="1219"/>
      <c r="O33" s="1219"/>
      <c r="P33" s="1219"/>
      <c r="Q33" s="1219"/>
      <c r="R33" s="1219"/>
      <c r="S33" s="1219"/>
      <c r="T33" s="1219"/>
      <c r="U33" s="1219"/>
      <c r="V33" s="1219"/>
      <c r="W33" s="1219"/>
      <c r="X33" s="1219"/>
      <c r="Y33" s="1219"/>
      <c r="Z33" s="1219"/>
      <c r="AA33" s="1219"/>
      <c r="AB33" s="1219"/>
      <c r="AC33" s="1219"/>
      <c r="AD33" s="1219"/>
      <c r="AE33" s="1219"/>
      <c r="AF33" s="1219"/>
      <c r="AG33" s="1219"/>
      <c r="AH33" s="1219"/>
      <c r="AI33" s="1219"/>
      <c r="AJ33" s="1219"/>
      <c r="AK33" s="1219"/>
      <c r="AL33" s="1219"/>
      <c r="AM33" s="1220"/>
      <c r="AN33" s="189"/>
      <c r="AP33" s="585"/>
      <c r="AQ33" s="586"/>
      <c r="AR33" s="583"/>
    </row>
    <row r="34" spans="1:44" x14ac:dyDescent="0.2">
      <c r="A34" s="107">
        <f t="shared" si="0"/>
        <v>30</v>
      </c>
      <c r="B34" s="167"/>
      <c r="C34" s="6"/>
      <c r="D34" s="6" t="s">
        <v>101</v>
      </c>
      <c r="E34" s="6"/>
      <c r="F34" s="6"/>
      <c r="G34" s="6"/>
      <c r="H34" s="6"/>
      <c r="I34" s="6"/>
      <c r="J34" s="21"/>
      <c r="K34" s="426"/>
      <c r="L34" s="138"/>
      <c r="M34" s="138"/>
      <c r="N34" s="138"/>
      <c r="O34" s="1226"/>
      <c r="P34" s="1226"/>
      <c r="Q34" s="1226"/>
      <c r="R34" s="1226"/>
      <c r="S34" s="1226"/>
      <c r="T34" s="6"/>
      <c r="U34" s="6"/>
      <c r="V34" s="21" t="s">
        <v>105</v>
      </c>
      <c r="W34" s="6"/>
      <c r="X34" s="117"/>
      <c r="Y34" s="117"/>
      <c r="Z34" s="117"/>
      <c r="AA34" s="117"/>
      <c r="AB34" s="132"/>
      <c r="AC34" s="426"/>
      <c r="AD34" s="138"/>
      <c r="AE34" s="138"/>
      <c r="AF34" s="138"/>
      <c r="AG34" s="1213"/>
      <c r="AH34" s="1213"/>
      <c r="AI34" s="1213"/>
      <c r="AJ34" s="1213"/>
      <c r="AK34" s="1213"/>
      <c r="AL34" s="21"/>
      <c r="AM34" s="6"/>
      <c r="AN34" s="189"/>
      <c r="AP34" s="583"/>
      <c r="AQ34" s="585"/>
      <c r="AR34" s="583"/>
    </row>
    <row r="35" spans="1:44" x14ac:dyDescent="0.2">
      <c r="A35" s="107">
        <f t="shared" si="0"/>
        <v>31</v>
      </c>
      <c r="B35" s="167"/>
      <c r="C35" s="6"/>
      <c r="D35" s="6" t="s">
        <v>103</v>
      </c>
      <c r="E35" s="6"/>
      <c r="F35" s="6"/>
      <c r="G35" s="6"/>
      <c r="H35" s="21"/>
      <c r="I35" s="20" t="s">
        <v>140</v>
      </c>
      <c r="J35" s="1052"/>
      <c r="K35" s="1052"/>
      <c r="L35" s="1052"/>
      <c r="M35" s="1052"/>
      <c r="N35" s="128"/>
      <c r="O35" s="1208"/>
      <c r="P35" s="1208"/>
      <c r="Q35" s="1208"/>
      <c r="R35" s="1208"/>
      <c r="S35" s="1208"/>
      <c r="T35" s="6"/>
      <c r="U35" s="6"/>
      <c r="V35" s="21" t="s">
        <v>107</v>
      </c>
      <c r="W35" s="6"/>
      <c r="X35" s="117"/>
      <c r="Y35" s="117"/>
      <c r="Z35" s="117"/>
      <c r="AA35" s="117"/>
      <c r="AB35" s="122"/>
      <c r="AC35" s="371"/>
      <c r="AD35" s="128"/>
      <c r="AE35" s="128"/>
      <c r="AF35" s="128"/>
      <c r="AG35" s="1208"/>
      <c r="AH35" s="1208"/>
      <c r="AI35" s="1208"/>
      <c r="AJ35" s="1208"/>
      <c r="AK35" s="1208"/>
      <c r="AL35" s="21"/>
      <c r="AM35" s="6"/>
      <c r="AN35" s="189"/>
      <c r="AP35" s="583"/>
      <c r="AQ35" s="585"/>
      <c r="AR35" s="583"/>
    </row>
    <row r="36" spans="1:44" x14ac:dyDescent="0.2">
      <c r="A36" s="107">
        <f t="shared" si="0"/>
        <v>32</v>
      </c>
      <c r="B36" s="167"/>
      <c r="C36" s="6"/>
      <c r="D36" s="6" t="s">
        <v>106</v>
      </c>
      <c r="E36" s="128"/>
      <c r="F36" s="128"/>
      <c r="G36" s="128"/>
      <c r="H36" s="128"/>
      <c r="I36" s="153"/>
      <c r="J36" s="117"/>
      <c r="K36" s="6"/>
      <c r="L36" s="144"/>
      <c r="M36" s="144"/>
      <c r="N36" s="144"/>
      <c r="O36" s="1208"/>
      <c r="P36" s="1208"/>
      <c r="Q36" s="1208"/>
      <c r="R36" s="1208"/>
      <c r="S36" s="1208"/>
      <c r="T36" s="6"/>
      <c r="U36" s="6"/>
      <c r="V36" s="21" t="s">
        <v>109</v>
      </c>
      <c r="W36" s="6"/>
      <c r="X36" s="117"/>
      <c r="Y36" s="117"/>
      <c r="Z36" s="117"/>
      <c r="AA36" s="117"/>
      <c r="AB36" s="122"/>
      <c r="AC36" s="371"/>
      <c r="AD36" s="128"/>
      <c r="AE36" s="128"/>
      <c r="AF36" s="128"/>
      <c r="AG36" s="1208"/>
      <c r="AH36" s="1208"/>
      <c r="AI36" s="1208"/>
      <c r="AJ36" s="1208"/>
      <c r="AK36" s="1208"/>
      <c r="AL36" s="117"/>
      <c r="AM36" s="6"/>
      <c r="AN36" s="189"/>
      <c r="AP36" s="585"/>
      <c r="AQ36" s="586"/>
      <c r="AR36" s="583"/>
    </row>
    <row r="37" spans="1:44" x14ac:dyDescent="0.2">
      <c r="A37" s="107">
        <f t="shared" si="0"/>
        <v>33</v>
      </c>
      <c r="B37" s="167"/>
      <c r="C37" s="6"/>
      <c r="D37" s="6" t="s">
        <v>108</v>
      </c>
      <c r="E37" s="117"/>
      <c r="F37" s="117"/>
      <c r="G37" s="117"/>
      <c r="H37" s="122"/>
      <c r="I37" s="122"/>
      <c r="J37" s="122"/>
      <c r="K37" s="371"/>
      <c r="L37" s="128"/>
      <c r="M37" s="128"/>
      <c r="N37" s="128"/>
      <c r="O37" s="1208"/>
      <c r="P37" s="1208"/>
      <c r="Q37" s="1208"/>
      <c r="R37" s="1208"/>
      <c r="S37" s="1208"/>
      <c r="T37" s="6"/>
      <c r="U37" s="6"/>
      <c r="V37" s="373" t="str">
        <f>IF(Page3!I5="VS4","DISCHARGE PIPE :",IF(Page3!I5="VS5","DISCHARGE PIPE :","DISCHARGE COLUMN :"))</f>
        <v>DISCHARGE COLUMN :</v>
      </c>
      <c r="W37" s="6"/>
      <c r="X37" s="122"/>
      <c r="Y37" s="122"/>
      <c r="Z37" s="122"/>
      <c r="AA37" s="122"/>
      <c r="AB37" s="122"/>
      <c r="AC37" s="371"/>
      <c r="AD37" s="128"/>
      <c r="AE37" s="128"/>
      <c r="AF37" s="128"/>
      <c r="AG37" s="1208"/>
      <c r="AH37" s="1208"/>
      <c r="AI37" s="1208"/>
      <c r="AJ37" s="1208"/>
      <c r="AK37" s="1208"/>
      <c r="AL37" s="117"/>
      <c r="AM37" s="6"/>
      <c r="AN37" s="189"/>
      <c r="AP37" s="585"/>
      <c r="AQ37" s="586"/>
      <c r="AR37" s="583"/>
    </row>
    <row r="38" spans="1:44" x14ac:dyDescent="0.2">
      <c r="A38" s="107">
        <f t="shared" si="0"/>
        <v>34</v>
      </c>
      <c r="B38" s="167"/>
      <c r="C38" s="21"/>
      <c r="D38" s="6" t="s">
        <v>110</v>
      </c>
      <c r="E38" s="117"/>
      <c r="F38" s="117"/>
      <c r="G38" s="117"/>
      <c r="H38" s="122"/>
      <c r="I38" s="122"/>
      <c r="J38" s="122"/>
      <c r="K38" s="371"/>
      <c r="L38" s="128"/>
      <c r="M38" s="128"/>
      <c r="N38" s="128"/>
      <c r="O38" s="1208"/>
      <c r="P38" s="1208"/>
      <c r="Q38" s="1208"/>
      <c r="R38" s="1208"/>
      <c r="S38" s="1208"/>
      <c r="T38" s="6"/>
      <c r="U38" s="6"/>
      <c r="V38" s="119" t="s">
        <v>113</v>
      </c>
      <c r="W38" s="36"/>
      <c r="X38" s="36"/>
      <c r="Y38" s="36"/>
      <c r="Z38" s="36"/>
      <c r="AA38" s="36"/>
      <c r="AB38" s="36"/>
      <c r="AC38" s="36"/>
      <c r="AD38" s="36"/>
      <c r="AE38" s="36"/>
      <c r="AF38" s="36"/>
      <c r="AG38" s="1210" t="s">
        <v>114</v>
      </c>
      <c r="AH38" s="1210"/>
      <c r="AI38" s="36"/>
      <c r="AJ38" s="1210" t="s">
        <v>200</v>
      </c>
      <c r="AK38" s="1210"/>
      <c r="AL38" s="117"/>
      <c r="AM38" s="6"/>
      <c r="AN38" s="189"/>
      <c r="AP38" s="585"/>
      <c r="AQ38" s="586"/>
      <c r="AR38" s="583"/>
    </row>
    <row r="39" spans="1:44" x14ac:dyDescent="0.2">
      <c r="A39" s="107">
        <f t="shared" si="0"/>
        <v>35</v>
      </c>
      <c r="B39" s="167"/>
      <c r="C39" s="6"/>
      <c r="D39" s="6" t="s">
        <v>239</v>
      </c>
      <c r="E39" s="122"/>
      <c r="F39" s="122"/>
      <c r="G39" s="122"/>
      <c r="H39" s="122"/>
      <c r="I39" s="122"/>
      <c r="J39" s="122"/>
      <c r="K39" s="371"/>
      <c r="L39" s="128"/>
      <c r="M39" s="128"/>
      <c r="N39" s="128"/>
      <c r="O39" s="1208"/>
      <c r="P39" s="1208"/>
      <c r="Q39" s="1208"/>
      <c r="R39" s="1208"/>
      <c r="S39" s="1208"/>
      <c r="T39" s="6"/>
      <c r="U39" s="6"/>
      <c r="V39" s="6" t="s">
        <v>115</v>
      </c>
      <c r="W39" s="6"/>
      <c r="X39" s="117"/>
      <c r="Y39" s="117"/>
      <c r="Z39" s="117"/>
      <c r="AA39" s="117"/>
      <c r="AB39" s="117"/>
      <c r="AC39" s="128"/>
      <c r="AD39" s="36"/>
      <c r="AE39" s="36"/>
      <c r="AF39" s="128"/>
      <c r="AG39" s="1209"/>
      <c r="AH39" s="1209"/>
      <c r="AI39" s="36"/>
      <c r="AJ39" s="1080"/>
      <c r="AK39" s="1080"/>
      <c r="AL39" s="122"/>
      <c r="AM39" s="6"/>
      <c r="AN39" s="189"/>
      <c r="AP39" s="585"/>
      <c r="AQ39" s="586"/>
      <c r="AR39" s="583"/>
    </row>
    <row r="40" spans="1:44" x14ac:dyDescent="0.2">
      <c r="A40" s="107">
        <f t="shared" si="0"/>
        <v>36</v>
      </c>
      <c r="B40" s="167"/>
      <c r="C40" s="6"/>
      <c r="D40" s="21" t="s">
        <v>102</v>
      </c>
      <c r="E40" s="117"/>
      <c r="F40" s="117"/>
      <c r="G40" s="117"/>
      <c r="H40" s="122"/>
      <c r="I40" s="122"/>
      <c r="J40" s="122"/>
      <c r="K40" s="371"/>
      <c r="L40" s="128"/>
      <c r="M40" s="128"/>
      <c r="N40" s="128"/>
      <c r="O40" s="1208"/>
      <c r="P40" s="1208"/>
      <c r="Q40" s="1208"/>
      <c r="R40" s="1208"/>
      <c r="S40" s="1208"/>
      <c r="T40" s="6"/>
      <c r="U40" s="6"/>
      <c r="V40" s="6" t="s">
        <v>116</v>
      </c>
      <c r="W40" s="6"/>
      <c r="X40" s="117"/>
      <c r="Y40" s="117"/>
      <c r="Z40" s="117"/>
      <c r="AA40" s="117"/>
      <c r="AB40" s="117"/>
      <c r="AC40" s="128"/>
      <c r="AD40" s="36"/>
      <c r="AE40" s="36"/>
      <c r="AF40" s="128"/>
      <c r="AG40" s="1209"/>
      <c r="AH40" s="1209"/>
      <c r="AI40" s="36"/>
      <c r="AJ40" s="1080"/>
      <c r="AK40" s="1080"/>
      <c r="AL40" s="117"/>
      <c r="AM40" s="6"/>
      <c r="AN40" s="189"/>
      <c r="AP40" s="585"/>
      <c r="AQ40" s="586"/>
      <c r="AR40" s="583"/>
    </row>
    <row r="41" spans="1:44" x14ac:dyDescent="0.2">
      <c r="A41" s="107">
        <f t="shared" si="0"/>
        <v>37</v>
      </c>
      <c r="B41" s="168"/>
      <c r="C41" s="6"/>
      <c r="D41" s="21" t="s">
        <v>104</v>
      </c>
      <c r="E41" s="6"/>
      <c r="F41" s="6"/>
      <c r="G41" s="6"/>
      <c r="H41" s="6"/>
      <c r="I41" s="6"/>
      <c r="J41" s="6"/>
      <c r="K41" s="371"/>
      <c r="L41" s="128"/>
      <c r="M41" s="128"/>
      <c r="N41" s="128"/>
      <c r="O41" s="1208"/>
      <c r="P41" s="1208"/>
      <c r="Q41" s="1208"/>
      <c r="R41" s="1208"/>
      <c r="S41" s="1208"/>
      <c r="T41" s="6"/>
      <c r="U41" s="6"/>
      <c r="V41" s="6" t="s">
        <v>117</v>
      </c>
      <c r="W41" s="6"/>
      <c r="X41" s="117"/>
      <c r="Y41" s="117"/>
      <c r="Z41" s="117"/>
      <c r="AA41" s="117"/>
      <c r="AB41" s="117"/>
      <c r="AC41" s="128"/>
      <c r="AD41" s="36"/>
      <c r="AE41" s="36"/>
      <c r="AF41" s="128"/>
      <c r="AG41" s="1209"/>
      <c r="AH41" s="1209"/>
      <c r="AI41" s="36"/>
      <c r="AJ41" s="1080"/>
      <c r="AK41" s="1080"/>
      <c r="AL41" s="117"/>
      <c r="AM41" s="6"/>
      <c r="AN41" s="208"/>
      <c r="AP41" s="585"/>
      <c r="AQ41" s="586"/>
      <c r="AR41" s="583"/>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5"/>
      <c r="AQ42" s="586"/>
      <c r="AR42" s="583"/>
    </row>
    <row r="43" spans="1:44" x14ac:dyDescent="0.2">
      <c r="A43" s="566">
        <f>A41+1</f>
        <v>38</v>
      </c>
      <c r="B43" s="167"/>
      <c r="C43" s="1214" t="s">
        <v>111</v>
      </c>
      <c r="D43" s="1215"/>
      <c r="E43" s="1215"/>
      <c r="F43" s="1215"/>
      <c r="G43" s="1215"/>
      <c r="H43" s="1215"/>
      <c r="I43" s="1215"/>
      <c r="J43" s="1215"/>
      <c r="K43" s="1215"/>
      <c r="L43" s="1215"/>
      <c r="M43" s="1215"/>
      <c r="N43" s="1215"/>
      <c r="O43" s="1215"/>
      <c r="P43" s="1215"/>
      <c r="Q43" s="1215"/>
      <c r="R43" s="1215"/>
      <c r="S43" s="1215"/>
      <c r="T43" s="1215"/>
      <c r="U43" s="1215"/>
      <c r="V43" s="1215"/>
      <c r="W43" s="1215"/>
      <c r="X43" s="1215"/>
      <c r="Y43" s="1215"/>
      <c r="Z43" s="1215"/>
      <c r="AA43" s="1215"/>
      <c r="AB43" s="1215"/>
      <c r="AC43" s="1215"/>
      <c r="AD43" s="1215"/>
      <c r="AE43" s="1215"/>
      <c r="AF43" s="1215"/>
      <c r="AG43" s="1215"/>
      <c r="AH43" s="1215"/>
      <c r="AI43" s="1215"/>
      <c r="AJ43" s="1215"/>
      <c r="AK43" s="1215"/>
      <c r="AL43" s="1215"/>
      <c r="AM43" s="1216"/>
      <c r="AN43" s="189"/>
      <c r="AP43" s="585"/>
      <c r="AQ43" s="586"/>
      <c r="AR43" s="583"/>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5"/>
      <c r="AQ44" s="586"/>
      <c r="AR44" s="583"/>
    </row>
    <row r="45" spans="1:44" x14ac:dyDescent="0.2">
      <c r="A45" s="107">
        <f t="shared" si="1"/>
        <v>40</v>
      </c>
      <c r="B45" s="167"/>
      <c r="C45" s="175"/>
      <c r="D45" s="460" t="s">
        <v>611</v>
      </c>
      <c r="E45" s="6"/>
      <c r="F45" s="6"/>
      <c r="G45" s="6"/>
      <c r="H45" s="21"/>
      <c r="I45" s="21"/>
      <c r="J45" s="117"/>
      <c r="K45" s="117"/>
      <c r="L45" s="117"/>
      <c r="M45" s="117"/>
      <c r="N45" s="117"/>
      <c r="O45" s="117"/>
      <c r="P45" s="117"/>
      <c r="Q45" s="459">
        <v>1</v>
      </c>
      <c r="R45" s="1207"/>
      <c r="S45" s="1207"/>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5"/>
      <c r="AQ45" s="586"/>
      <c r="AR45" s="583"/>
    </row>
    <row r="46" spans="1:44" x14ac:dyDescent="0.2">
      <c r="A46" s="107">
        <f t="shared" si="1"/>
        <v>41</v>
      </c>
      <c r="B46" s="167"/>
      <c r="C46" s="176"/>
      <c r="D46" s="460" t="s">
        <v>612</v>
      </c>
      <c r="E46" s="6"/>
      <c r="F46" s="6"/>
      <c r="G46" s="6"/>
      <c r="H46" s="6"/>
      <c r="I46" s="6"/>
      <c r="J46" s="6"/>
      <c r="K46" s="6"/>
      <c r="L46" s="6"/>
      <c r="M46" s="6"/>
      <c r="N46" s="6"/>
      <c r="O46" s="6"/>
      <c r="P46" s="6"/>
      <c r="Q46" s="459">
        <v>2</v>
      </c>
      <c r="R46" s="1207"/>
      <c r="S46" s="1207"/>
      <c r="T46" s="6"/>
      <c r="U46" s="374" t="str">
        <f ca="1">Units!$B$12</f>
        <v>ft</v>
      </c>
      <c r="V46" s="6"/>
      <c r="W46" s="6"/>
      <c r="X46" s="6"/>
      <c r="Y46" s="6"/>
      <c r="Z46" s="6"/>
      <c r="AA46" s="6"/>
      <c r="AB46" s="6"/>
      <c r="AC46" s="6"/>
      <c r="AD46" s="6"/>
      <c r="AE46" s="6"/>
      <c r="AF46" s="6"/>
      <c r="AG46" s="6"/>
      <c r="AH46" s="6"/>
      <c r="AI46" s="6"/>
      <c r="AJ46" s="6"/>
      <c r="AK46" s="6"/>
      <c r="AL46" s="6"/>
      <c r="AM46" s="29"/>
      <c r="AN46" s="189"/>
      <c r="AP46" s="585"/>
      <c r="AQ46" s="586"/>
      <c r="AR46" s="583"/>
    </row>
    <row r="47" spans="1:44" x14ac:dyDescent="0.2">
      <c r="A47" s="107">
        <f t="shared" si="1"/>
        <v>42</v>
      </c>
      <c r="B47" s="167"/>
      <c r="C47" s="176"/>
      <c r="D47" s="460" t="s">
        <v>613</v>
      </c>
      <c r="E47" s="6"/>
      <c r="F47" s="6"/>
      <c r="G47" s="6"/>
      <c r="H47" s="6"/>
      <c r="I47" s="6"/>
      <c r="J47" s="6"/>
      <c r="K47" s="6"/>
      <c r="L47" s="6"/>
      <c r="M47" s="6"/>
      <c r="N47" s="6"/>
      <c r="O47" s="6"/>
      <c r="P47" s="6"/>
      <c r="Q47" s="459">
        <v>3</v>
      </c>
      <c r="R47" s="1207"/>
      <c r="S47" s="1207"/>
      <c r="T47" s="6"/>
      <c r="U47" s="374" t="str">
        <f ca="1">Units!$B$12</f>
        <v>ft</v>
      </c>
      <c r="V47" s="6"/>
      <c r="W47" s="6"/>
      <c r="X47" s="6"/>
      <c r="Y47" s="6"/>
      <c r="Z47" s="6"/>
      <c r="AA47" s="6"/>
      <c r="AB47" s="6"/>
      <c r="AC47" s="6"/>
      <c r="AD47" s="6"/>
      <c r="AE47" s="21"/>
      <c r="AF47" s="21"/>
      <c r="AG47" s="21"/>
      <c r="AH47" s="21"/>
      <c r="AI47" s="21"/>
      <c r="AJ47" s="21"/>
      <c r="AK47" s="21"/>
      <c r="AL47" s="21"/>
      <c r="AM47" s="29"/>
      <c r="AN47" s="189"/>
      <c r="AP47" s="585"/>
      <c r="AQ47" s="586"/>
      <c r="AR47" s="583"/>
    </row>
    <row r="48" spans="1:44" x14ac:dyDescent="0.2">
      <c r="A48" s="107">
        <f t="shared" si="1"/>
        <v>43</v>
      </c>
      <c r="B48" s="167"/>
      <c r="C48" s="175"/>
      <c r="D48" s="460" t="s">
        <v>614</v>
      </c>
      <c r="E48" s="6"/>
      <c r="F48" s="6"/>
      <c r="G48" s="21"/>
      <c r="H48" s="21"/>
      <c r="I48" s="21"/>
      <c r="J48" s="21"/>
      <c r="K48" s="21"/>
      <c r="L48" s="21"/>
      <c r="M48" s="21"/>
      <c r="N48" s="21"/>
      <c r="O48" s="21"/>
      <c r="P48" s="21"/>
      <c r="Q48" s="581" t="s">
        <v>615</v>
      </c>
      <c r="R48" s="1207"/>
      <c r="S48" s="1207"/>
      <c r="T48" s="6"/>
      <c r="U48" s="374" t="str">
        <f ca="1">Units!$B$12</f>
        <v>ft</v>
      </c>
      <c r="V48" s="6"/>
      <c r="W48" s="6"/>
      <c r="X48" s="6"/>
      <c r="Y48" s="6"/>
      <c r="Z48" s="6"/>
      <c r="AA48" s="6"/>
      <c r="AB48" s="6"/>
      <c r="AC48" s="6"/>
      <c r="AD48" s="6"/>
      <c r="AE48" s="6"/>
      <c r="AF48" s="21"/>
      <c r="AG48" s="21"/>
      <c r="AH48" s="21"/>
      <c r="AI48" s="21"/>
      <c r="AJ48" s="21"/>
      <c r="AK48" s="21"/>
      <c r="AL48" s="21"/>
      <c r="AM48" s="29"/>
      <c r="AN48" s="189"/>
      <c r="AP48" s="585"/>
      <c r="AQ48" s="586"/>
      <c r="AR48" s="583"/>
    </row>
    <row r="49" spans="1:44" x14ac:dyDescent="0.2">
      <c r="A49" s="107">
        <f t="shared" si="1"/>
        <v>44</v>
      </c>
      <c r="B49" s="167"/>
      <c r="C49" s="177"/>
      <c r="D49" s="460" t="s">
        <v>616</v>
      </c>
      <c r="E49" s="6"/>
      <c r="F49" s="6"/>
      <c r="G49" s="6"/>
      <c r="H49" s="6"/>
      <c r="I49" s="6"/>
      <c r="J49" s="6"/>
      <c r="K49" s="6"/>
      <c r="L49" s="6"/>
      <c r="M49" s="6"/>
      <c r="N49" s="6"/>
      <c r="O49" s="6"/>
      <c r="P49" s="6"/>
      <c r="Q49" s="581" t="s">
        <v>617</v>
      </c>
      <c r="R49" s="1207"/>
      <c r="S49" s="1207"/>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5"/>
      <c r="AQ49" s="586"/>
      <c r="AR49" s="583"/>
    </row>
    <row r="50" spans="1:44" x14ac:dyDescent="0.2">
      <c r="A50" s="107">
        <f t="shared" si="1"/>
        <v>45</v>
      </c>
      <c r="B50" s="167"/>
      <c r="C50" s="175"/>
      <c r="D50" s="460" t="s">
        <v>618</v>
      </c>
      <c r="E50" s="6"/>
      <c r="F50" s="6"/>
      <c r="G50" s="6"/>
      <c r="H50" s="6"/>
      <c r="I50" s="6"/>
      <c r="J50" s="6"/>
      <c r="K50" s="6"/>
      <c r="L50" s="6"/>
      <c r="M50" s="6"/>
      <c r="N50" s="6"/>
      <c r="O50" s="6"/>
      <c r="P50" s="6"/>
      <c r="Q50" s="581" t="s">
        <v>619</v>
      </c>
      <c r="R50" s="1207"/>
      <c r="S50" s="1207"/>
      <c r="T50" s="6"/>
      <c r="U50" s="374" t="str">
        <f ca="1">Units!$B$12</f>
        <v>ft</v>
      </c>
      <c r="V50" s="6"/>
      <c r="W50" s="6"/>
      <c r="X50" s="6"/>
      <c r="Y50" s="427"/>
      <c r="Z50" s="21"/>
      <c r="AA50" s="21"/>
      <c r="AB50" s="6"/>
      <c r="AC50" s="428"/>
      <c r="AD50" s="6"/>
      <c r="AE50" s="21"/>
      <c r="AF50" s="6"/>
      <c r="AG50" s="6"/>
      <c r="AH50" s="21"/>
      <c r="AI50" s="21"/>
      <c r="AJ50" s="427"/>
      <c r="AK50" s="21"/>
      <c r="AL50" s="21"/>
      <c r="AM50" s="29"/>
      <c r="AN50" s="189"/>
      <c r="AP50" s="585"/>
      <c r="AQ50" s="586"/>
      <c r="AR50" s="583"/>
    </row>
    <row r="51" spans="1:44" x14ac:dyDescent="0.2">
      <c r="A51" s="107">
        <f t="shared" ref="A51:A62" si="2">A50+1</f>
        <v>46</v>
      </c>
      <c r="B51" s="167"/>
      <c r="C51" s="178"/>
      <c r="D51" s="460" t="s">
        <v>620</v>
      </c>
      <c r="E51" s="6"/>
      <c r="F51" s="427"/>
      <c r="G51" s="21"/>
      <c r="H51" s="6"/>
      <c r="I51" s="428"/>
      <c r="J51" s="21"/>
      <c r="K51" s="21"/>
      <c r="L51" s="6"/>
      <c r="M51" s="21"/>
      <c r="N51" s="21"/>
      <c r="O51" s="6"/>
      <c r="P51" s="6"/>
      <c r="Q51" s="581" t="s">
        <v>621</v>
      </c>
      <c r="R51" s="1207"/>
      <c r="S51" s="1207"/>
      <c r="T51" s="6"/>
      <c r="U51" s="374" t="str">
        <f ca="1">Units!$B$12</f>
        <v>ft</v>
      </c>
      <c r="V51" s="6"/>
      <c r="W51" s="6"/>
      <c r="X51" s="6"/>
      <c r="Y51" s="6"/>
      <c r="Z51" s="6"/>
      <c r="AA51" s="126"/>
      <c r="AB51" s="6"/>
      <c r="AC51" s="6"/>
      <c r="AD51" s="6"/>
      <c r="AE51" s="6"/>
      <c r="AF51" s="6"/>
      <c r="AG51" s="6"/>
      <c r="AH51" s="6"/>
      <c r="AI51" s="6"/>
      <c r="AJ51" s="6"/>
      <c r="AK51" s="6"/>
      <c r="AL51" s="6"/>
      <c r="AM51" s="29"/>
      <c r="AN51" s="189"/>
      <c r="AP51" s="585"/>
      <c r="AQ51" s="586"/>
      <c r="AR51" s="583"/>
    </row>
    <row r="52" spans="1:44" x14ac:dyDescent="0.2">
      <c r="A52" s="107">
        <f t="shared" si="2"/>
        <v>47</v>
      </c>
      <c r="B52" s="167"/>
      <c r="C52" s="175"/>
      <c r="D52" s="460" t="s">
        <v>622</v>
      </c>
      <c r="E52" s="6"/>
      <c r="F52" s="21"/>
      <c r="G52" s="21"/>
      <c r="H52" s="6"/>
      <c r="I52" s="6"/>
      <c r="J52" s="21"/>
      <c r="K52" s="21"/>
      <c r="L52" s="6"/>
      <c r="M52" s="21"/>
      <c r="N52" s="21"/>
      <c r="O52" s="6"/>
      <c r="P52" s="6"/>
      <c r="Q52" s="581" t="s">
        <v>623</v>
      </c>
      <c r="R52" s="1207"/>
      <c r="S52" s="1207"/>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5"/>
      <c r="AQ52" s="582"/>
      <c r="AR52" s="583"/>
    </row>
    <row r="53" spans="1:44" x14ac:dyDescent="0.2">
      <c r="A53" s="107">
        <f t="shared" si="2"/>
        <v>48</v>
      </c>
      <c r="B53" s="167"/>
      <c r="C53" s="176"/>
      <c r="D53" s="460" t="s">
        <v>624</v>
      </c>
      <c r="E53" s="6"/>
      <c r="F53" s="21"/>
      <c r="G53" s="21"/>
      <c r="H53" s="21"/>
      <c r="I53" s="21"/>
      <c r="J53" s="21"/>
      <c r="K53" s="21"/>
      <c r="L53" s="21"/>
      <c r="M53" s="21"/>
      <c r="N53" s="21"/>
      <c r="O53" s="21"/>
      <c r="P53" s="21"/>
      <c r="Q53" s="581" t="s">
        <v>625</v>
      </c>
      <c r="R53" s="1207"/>
      <c r="S53" s="1207"/>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5"/>
      <c r="AQ53" s="586"/>
      <c r="AR53" s="583"/>
    </row>
    <row r="54" spans="1:44" x14ac:dyDescent="0.2">
      <c r="A54" s="107">
        <f t="shared" si="2"/>
        <v>49</v>
      </c>
      <c r="B54" s="167"/>
      <c r="C54" s="179"/>
      <c r="D54" s="460" t="s">
        <v>626</v>
      </c>
      <c r="E54" s="6"/>
      <c r="F54" s="6"/>
      <c r="G54" s="21"/>
      <c r="H54" s="21"/>
      <c r="I54" s="21"/>
      <c r="J54" s="6"/>
      <c r="K54" s="21"/>
      <c r="L54" s="21"/>
      <c r="M54" s="6"/>
      <c r="N54" s="21"/>
      <c r="O54" s="21"/>
      <c r="P54" s="6"/>
      <c r="Q54" s="839" t="s">
        <v>718</v>
      </c>
      <c r="R54" s="1207"/>
      <c r="S54" s="1207"/>
      <c r="T54" s="6"/>
      <c r="U54" s="374" t="str">
        <f ca="1">Units!$B$12</f>
        <v>ft</v>
      </c>
      <c r="V54" s="6"/>
      <c r="W54" s="6"/>
      <c r="X54" s="6"/>
      <c r="Y54" s="6"/>
      <c r="Z54" s="6"/>
      <c r="AA54" s="6"/>
      <c r="AB54" s="21"/>
      <c r="AC54" s="21"/>
      <c r="AD54" s="21"/>
      <c r="AE54" s="21"/>
      <c r="AF54" s="21"/>
      <c r="AG54" s="21"/>
      <c r="AH54" s="21"/>
      <c r="AI54" s="21"/>
      <c r="AJ54" s="21"/>
      <c r="AK54" s="6"/>
      <c r="AL54" s="6"/>
      <c r="AM54" s="386"/>
      <c r="AN54" s="189"/>
      <c r="AP54" s="588"/>
      <c r="AQ54" s="586"/>
      <c r="AR54" s="583"/>
    </row>
    <row r="55" spans="1:44" x14ac:dyDescent="0.2">
      <c r="A55" s="107">
        <f t="shared" si="2"/>
        <v>50</v>
      </c>
      <c r="B55" s="167"/>
      <c r="C55" s="175"/>
      <c r="D55" s="6"/>
      <c r="E55" s="6"/>
      <c r="F55" s="6"/>
      <c r="G55" s="21"/>
      <c r="H55" s="21"/>
      <c r="I55" s="21"/>
      <c r="J55" s="6"/>
      <c r="K55" s="21"/>
      <c r="L55" s="21"/>
      <c r="M55" s="6"/>
      <c r="N55" s="21"/>
      <c r="O55" s="21"/>
      <c r="P55" s="6"/>
      <c r="Q55" s="151"/>
      <c r="R55" s="1221"/>
      <c r="S55" s="1221"/>
      <c r="T55" s="6"/>
      <c r="U55" s="374"/>
      <c r="V55" s="6"/>
      <c r="W55" s="6"/>
      <c r="X55" s="6"/>
      <c r="Y55" s="6"/>
      <c r="Z55" s="6"/>
      <c r="AA55" s="6"/>
      <c r="AB55" s="21"/>
      <c r="AC55" s="21"/>
      <c r="AD55" s="21"/>
      <c r="AE55" s="21"/>
      <c r="AF55" s="21"/>
      <c r="AG55" s="21"/>
      <c r="AH55" s="21"/>
      <c r="AI55" s="21"/>
      <c r="AJ55" s="21"/>
      <c r="AK55" s="6"/>
      <c r="AL55" s="6"/>
      <c r="AM55" s="29"/>
      <c r="AN55" s="189"/>
      <c r="AP55" s="582"/>
      <c r="AQ55" s="583"/>
      <c r="AR55" s="583"/>
    </row>
    <row r="56" spans="1:44" x14ac:dyDescent="0.2">
      <c r="A56" s="107">
        <f t="shared" si="2"/>
        <v>51</v>
      </c>
      <c r="B56" s="167"/>
      <c r="C56" s="177"/>
      <c r="D56" s="6"/>
      <c r="E56" s="6"/>
      <c r="F56" s="6"/>
      <c r="G56" s="21"/>
      <c r="H56" s="21"/>
      <c r="I56" s="21"/>
      <c r="J56" s="6"/>
      <c r="K56" s="21"/>
      <c r="L56" s="21"/>
      <c r="M56" s="6"/>
      <c r="N56" s="21"/>
      <c r="O56" s="21"/>
      <c r="P56" s="21"/>
      <c r="Q56" s="151"/>
      <c r="R56" s="1221"/>
      <c r="S56" s="1221"/>
      <c r="T56" s="21"/>
      <c r="U56" s="374"/>
      <c r="V56" s="6"/>
      <c r="W56" s="6"/>
      <c r="X56" s="6"/>
      <c r="Y56" s="6"/>
      <c r="Z56" s="6"/>
      <c r="AA56" s="6"/>
      <c r="AB56" s="21"/>
      <c r="AC56" s="21"/>
      <c r="AD56" s="21"/>
      <c r="AE56" s="21"/>
      <c r="AF56" s="698"/>
      <c r="AG56" s="699"/>
      <c r="AH56" s="21"/>
      <c r="AI56" s="21"/>
      <c r="AJ56" s="21"/>
      <c r="AK56" s="6"/>
      <c r="AL56" s="6"/>
      <c r="AM56" s="29"/>
      <c r="AN56" s="189"/>
      <c r="AP56" s="582"/>
      <c r="AQ56" s="583"/>
      <c r="AR56" s="583"/>
    </row>
    <row r="57" spans="1:44" x14ac:dyDescent="0.2">
      <c r="A57" s="107">
        <f t="shared" si="2"/>
        <v>52</v>
      </c>
      <c r="B57" s="167"/>
      <c r="C57" s="429"/>
      <c r="D57" s="21"/>
      <c r="E57" s="21"/>
      <c r="F57" s="21"/>
      <c r="G57" s="21"/>
      <c r="H57" s="581"/>
      <c r="I57" s="21"/>
      <c r="J57" s="1217"/>
      <c r="K57" s="1217"/>
      <c r="L57" s="1217"/>
      <c r="M57" s="374"/>
      <c r="N57" s="21"/>
      <c r="O57" s="126"/>
      <c r="P57" s="21"/>
      <c r="Q57" s="581"/>
      <c r="R57" s="1217"/>
      <c r="S57" s="1217"/>
      <c r="T57" s="1217"/>
      <c r="U57" s="374"/>
      <c r="V57" s="21"/>
      <c r="W57" s="21"/>
      <c r="X57" s="20"/>
      <c r="Y57" s="21"/>
      <c r="Z57" s="21"/>
      <c r="AA57" s="21"/>
      <c r="AB57" s="21"/>
      <c r="AD57" s="21"/>
      <c r="AE57" s="120"/>
      <c r="AF57" s="120"/>
      <c r="AG57" s="120"/>
      <c r="AH57" s="251"/>
      <c r="AI57" s="251"/>
      <c r="AJ57" s="251"/>
      <c r="AK57" s="373"/>
      <c r="AL57" s="21"/>
      <c r="AM57" s="29"/>
      <c r="AN57" s="189"/>
      <c r="AP57" s="582"/>
      <c r="AQ57" s="584"/>
      <c r="AR57" s="583"/>
    </row>
    <row r="58" spans="1:44" x14ac:dyDescent="0.2">
      <c r="A58" s="107">
        <f t="shared" si="2"/>
        <v>53</v>
      </c>
      <c r="B58" s="167"/>
      <c r="C58" s="21"/>
      <c r="D58" s="21"/>
      <c r="E58" s="21"/>
      <c r="F58" s="21"/>
      <c r="G58" s="20"/>
      <c r="H58" s="699"/>
      <c r="I58" s="21"/>
      <c r="J58" s="1217"/>
      <c r="K58" s="1217"/>
      <c r="L58" s="1217"/>
      <c r="M58" s="374"/>
      <c r="N58" s="247"/>
      <c r="O58" s="247"/>
      <c r="P58" s="247"/>
      <c r="Q58" s="581"/>
      <c r="R58" s="1217"/>
      <c r="S58" s="1217"/>
      <c r="T58" s="1217"/>
      <c r="U58" s="374"/>
      <c r="V58" s="21"/>
      <c r="W58" s="21"/>
      <c r="X58" s="20"/>
      <c r="Y58" s="21"/>
      <c r="Z58" s="21"/>
      <c r="AA58" s="21"/>
      <c r="AB58" s="21"/>
      <c r="AC58" s="21"/>
      <c r="AD58" s="21"/>
      <c r="AE58" s="120"/>
      <c r="AF58" s="120"/>
      <c r="AG58" s="699" t="s">
        <v>676</v>
      </c>
      <c r="AH58" s="251"/>
      <c r="AI58" s="251"/>
      <c r="AJ58" s="251"/>
      <c r="AK58" s="373"/>
      <c r="AL58" s="21"/>
      <c r="AM58" s="29"/>
      <c r="AN58" s="189"/>
      <c r="AP58" s="582"/>
      <c r="AQ58" s="584"/>
      <c r="AR58" s="583"/>
    </row>
    <row r="59" spans="1:44" x14ac:dyDescent="0.2">
      <c r="A59" s="107">
        <f t="shared" si="2"/>
        <v>54</v>
      </c>
      <c r="B59" s="167"/>
      <c r="C59" s="21"/>
      <c r="D59" s="21"/>
      <c r="E59" s="21"/>
      <c r="F59" s="21"/>
      <c r="G59" s="20"/>
      <c r="H59" s="581"/>
      <c r="I59" s="21"/>
      <c r="J59" s="1217"/>
      <c r="K59" s="1217"/>
      <c r="L59" s="1217"/>
      <c r="M59" s="374"/>
      <c r="N59" s="247"/>
      <c r="O59" s="247"/>
      <c r="P59" s="247"/>
      <c r="Q59" s="581"/>
      <c r="R59" s="1217"/>
      <c r="S59" s="1217"/>
      <c r="T59" s="1217"/>
      <c r="U59" s="374"/>
      <c r="V59" s="21"/>
      <c r="W59" s="21"/>
      <c r="X59" s="20"/>
      <c r="Y59" s="21"/>
      <c r="Z59" s="21"/>
      <c r="AA59" s="21"/>
      <c r="AB59" s="21"/>
      <c r="AC59" s="21"/>
      <c r="AD59" s="21"/>
      <c r="AE59" s="120"/>
      <c r="AF59" s="120"/>
      <c r="AG59" s="120"/>
      <c r="AH59" s="251"/>
      <c r="AI59" s="251"/>
      <c r="AJ59" s="251"/>
      <c r="AK59" s="373"/>
      <c r="AL59" s="21"/>
      <c r="AM59" s="29"/>
      <c r="AN59" s="189"/>
      <c r="AP59" s="582"/>
      <c r="AQ59" s="583"/>
      <c r="AR59" s="583"/>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4"/>
      <c r="Y62" s="25"/>
      <c r="Z62" s="25"/>
      <c r="AA62" s="18"/>
      <c r="AB62" s="25"/>
      <c r="AC62" s="25"/>
      <c r="AD62" s="25"/>
      <c r="AE62" s="589"/>
      <c r="AF62" s="589"/>
      <c r="AG62" s="589"/>
      <c r="AH62" s="590"/>
      <c r="AI62" s="590"/>
      <c r="AJ62" s="590"/>
      <c r="AK62" s="25"/>
      <c r="AL62" s="25"/>
      <c r="AM62" s="425"/>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50"/>
      <c r="J64" s="1150"/>
      <c r="K64" s="1150"/>
      <c r="L64" s="1150"/>
      <c r="M64" s="1150"/>
      <c r="N64" s="1150"/>
      <c r="O64" s="1150"/>
      <c r="P64" s="1150"/>
      <c r="Q64" s="1150"/>
      <c r="R64" s="1150"/>
      <c r="S64" s="1150"/>
      <c r="T64" s="1150"/>
      <c r="U64" s="112"/>
      <c r="V64" s="112"/>
      <c r="W64" s="111" t="s">
        <v>48</v>
      </c>
      <c r="X64" s="111"/>
      <c r="Y64" s="1114"/>
      <c r="Z64" s="1114"/>
      <c r="AA64" s="112"/>
      <c r="AB64" s="112"/>
      <c r="AC64" s="112"/>
      <c r="AD64" s="112"/>
      <c r="AE64" s="291" t="s">
        <v>272</v>
      </c>
      <c r="AF64" s="291"/>
      <c r="AG64" s="291"/>
      <c r="AH64" s="1113"/>
      <c r="AI64" s="1113"/>
      <c r="AJ64" s="291" t="s">
        <v>269</v>
      </c>
      <c r="AK64" s="1101" t="str">
        <f>IF(C_PageNo_Total=0,"",C_PageNo_Total)</f>
        <v/>
      </c>
      <c r="AL64" s="1101"/>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D10" sqref="D10"/>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6">
        <v>1</v>
      </c>
      <c r="B4" s="165" t="s">
        <v>182</v>
      </c>
      <c r="C4" s="1088" t="s">
        <v>540</v>
      </c>
      <c r="D4" s="1129"/>
      <c r="E4" s="1129"/>
      <c r="F4" s="1129"/>
      <c r="G4" s="1129"/>
      <c r="H4" s="1129"/>
      <c r="I4" s="1129"/>
      <c r="J4" s="1129"/>
      <c r="K4" s="1129"/>
      <c r="L4" s="1129"/>
      <c r="M4" s="1129"/>
      <c r="N4" s="1129"/>
      <c r="O4" s="1129"/>
      <c r="P4" s="1129"/>
      <c r="Q4" s="1129"/>
      <c r="R4" s="1129"/>
      <c r="S4" s="1129"/>
      <c r="T4" s="1129"/>
      <c r="U4" s="1129"/>
      <c r="V4" s="1129"/>
      <c r="W4" s="1129"/>
      <c r="X4" s="1129"/>
      <c r="Y4" s="1129"/>
      <c r="Z4" s="1129"/>
      <c r="AA4" s="1129"/>
      <c r="AB4" s="1129"/>
      <c r="AC4" s="1129"/>
      <c r="AD4" s="1129"/>
      <c r="AE4" s="1129"/>
      <c r="AF4" s="1129"/>
      <c r="AG4" s="1129"/>
      <c r="AH4" s="1129"/>
      <c r="AI4" s="1129"/>
      <c r="AJ4" s="1129"/>
      <c r="AK4" s="1129"/>
      <c r="AL4" s="1129"/>
      <c r="AM4" s="1130"/>
      <c r="AN4" s="187" t="s">
        <v>7</v>
      </c>
      <c r="AP4" s="465"/>
      <c r="AQ4" s="458"/>
      <c r="AR4" s="460"/>
      <c r="AS4" s="460"/>
    </row>
    <row r="5" spans="1:45" x14ac:dyDescent="0.2">
      <c r="A5" s="140">
        <f t="shared" ref="A5:A68" si="0">A4+1</f>
        <v>2</v>
      </c>
      <c r="B5" s="107"/>
      <c r="C5" s="493"/>
      <c r="D5" s="475" t="s">
        <v>541</v>
      </c>
      <c r="F5" s="505"/>
      <c r="G5" s="505"/>
      <c r="H5" s="505"/>
      <c r="I5" s="505"/>
      <c r="J5" s="505"/>
      <c r="K5" s="505"/>
      <c r="L5" s="505"/>
      <c r="M5" s="505"/>
      <c r="N5" s="505"/>
      <c r="O5" s="505"/>
      <c r="P5" s="505"/>
      <c r="Q5" s="506"/>
      <c r="R5" s="506"/>
      <c r="S5" s="506"/>
      <c r="T5" s="506"/>
      <c r="U5" s="507"/>
      <c r="V5" s="508"/>
      <c r="W5" s="507"/>
      <c r="X5" s="1"/>
      <c r="Y5" s="1"/>
      <c r="Z5" s="1"/>
      <c r="AA5" s="1"/>
      <c r="AB5" s="1"/>
      <c r="AC5" s="1"/>
      <c r="AD5" s="1"/>
      <c r="AE5" s="1"/>
      <c r="AF5" s="507"/>
      <c r="AG5" s="509"/>
      <c r="AH5" s="507"/>
      <c r="AI5" s="477"/>
      <c r="AJ5" s="477"/>
      <c r="AK5" s="510"/>
      <c r="AL5" s="510"/>
      <c r="AM5" s="15"/>
      <c r="AN5" s="188"/>
      <c r="AP5" s="457"/>
      <c r="AQ5" s="458"/>
      <c r="AR5" s="459"/>
      <c r="AS5" s="460"/>
    </row>
    <row r="6" spans="1:45" x14ac:dyDescent="0.2">
      <c r="A6" s="140">
        <f t="shared" si="0"/>
        <v>3</v>
      </c>
      <c r="B6" s="167"/>
      <c r="C6" s="446"/>
      <c r="D6" s="459"/>
      <c r="F6" s="133"/>
      <c r="G6" s="133"/>
      <c r="H6" s="133"/>
      <c r="I6" s="483" t="s">
        <v>885</v>
      </c>
      <c r="J6" s="133"/>
      <c r="K6" s="133"/>
      <c r="L6" s="133"/>
      <c r="M6" s="133"/>
      <c r="N6" s="133"/>
      <c r="O6" s="133"/>
      <c r="P6" s="133"/>
      <c r="Q6" s="6"/>
      <c r="R6" s="6"/>
      <c r="S6" s="6"/>
      <c r="T6" s="22"/>
      <c r="U6" s="494"/>
      <c r="V6" s="466"/>
      <c r="W6" s="494"/>
      <c r="X6" s="494"/>
      <c r="Y6" s="22"/>
      <c r="Z6" s="22"/>
      <c r="AA6" s="22"/>
      <c r="AB6" s="22"/>
      <c r="AC6" s="22"/>
      <c r="AD6" s="22"/>
      <c r="AE6" s="22"/>
      <c r="AF6" s="454"/>
      <c r="AG6" s="479"/>
      <c r="AH6" s="454"/>
      <c r="AI6" s="455"/>
      <c r="AJ6" s="1054"/>
      <c r="AK6" s="1054"/>
      <c r="AL6" s="512"/>
      <c r="AM6" s="15"/>
      <c r="AN6" s="189"/>
      <c r="AP6" s="525"/>
      <c r="AQ6" s="471"/>
      <c r="AR6" s="472"/>
      <c r="AS6" s="472"/>
    </row>
    <row r="7" spans="1:45" x14ac:dyDescent="0.2">
      <c r="A7" s="140">
        <f t="shared" si="0"/>
        <v>4</v>
      </c>
      <c r="B7" s="167"/>
      <c r="C7" s="446"/>
      <c r="D7" s="511"/>
      <c r="F7" s="133"/>
      <c r="G7" s="133"/>
      <c r="H7" s="133"/>
      <c r="I7" s="483" t="s">
        <v>837</v>
      </c>
      <c r="J7" s="133"/>
      <c r="K7" s="133"/>
      <c r="L7" s="133"/>
      <c r="M7" s="133"/>
      <c r="N7" s="133"/>
      <c r="O7" s="133"/>
      <c r="P7" s="133"/>
      <c r="Q7" s="6"/>
      <c r="R7" s="6"/>
      <c r="S7" s="6"/>
      <c r="T7" s="6"/>
      <c r="U7" s="454"/>
      <c r="V7" s="502"/>
      <c r="W7" s="454"/>
      <c r="X7" s="5"/>
      <c r="Y7" s="5"/>
      <c r="Z7" s="5"/>
      <c r="AA7" s="5"/>
      <c r="AB7" s="5"/>
      <c r="AC7" s="5"/>
      <c r="AD7" s="5"/>
      <c r="AE7" s="6"/>
      <c r="AF7" s="454"/>
      <c r="AG7" s="479"/>
      <c r="AH7" s="454"/>
      <c r="AI7" s="455"/>
      <c r="AJ7" s="1054"/>
      <c r="AK7" s="1054"/>
      <c r="AL7" s="512"/>
      <c r="AM7" s="15"/>
      <c r="AN7" s="189"/>
      <c r="AP7" s="475"/>
      <c r="AQ7" s="462"/>
      <c r="AR7" s="472"/>
      <c r="AS7" s="472"/>
    </row>
    <row r="8" spans="1:45" ht="13.35" customHeight="1" x14ac:dyDescent="0.2">
      <c r="A8" s="140">
        <f t="shared" si="0"/>
        <v>5</v>
      </c>
      <c r="B8" s="167"/>
      <c r="C8" s="446"/>
      <c r="D8" s="511"/>
      <c r="E8" s="133"/>
      <c r="F8" s="133"/>
      <c r="G8" s="133"/>
      <c r="H8" s="133"/>
      <c r="I8" s="133"/>
      <c r="J8" s="133"/>
      <c r="K8" s="133"/>
      <c r="L8" s="133"/>
      <c r="M8" s="133"/>
      <c r="N8" s="133"/>
      <c r="O8" s="133"/>
      <c r="P8" s="133"/>
      <c r="Q8" s="6"/>
      <c r="R8" s="6"/>
      <c r="S8" s="6"/>
      <c r="T8" s="6"/>
      <c r="U8" s="12"/>
      <c r="V8" s="466"/>
      <c r="W8" s="5"/>
      <c r="X8" s="5"/>
      <c r="Y8" s="5"/>
      <c r="Z8" s="5"/>
      <c r="AA8" s="5"/>
      <c r="AB8" s="5"/>
      <c r="AC8" s="5"/>
      <c r="AD8" s="5"/>
      <c r="AE8" s="6"/>
      <c r="AF8" s="454"/>
      <c r="AG8" s="458"/>
      <c r="AH8" s="454"/>
      <c r="AI8" s="455"/>
      <c r="AJ8" s="455"/>
      <c r="AK8" s="512"/>
      <c r="AL8" s="512"/>
      <c r="AM8" s="15"/>
      <c r="AN8" s="189"/>
      <c r="AP8" s="475"/>
      <c r="AQ8" s="462"/>
      <c r="AR8" s="472"/>
      <c r="AS8" s="472"/>
    </row>
    <row r="9" spans="1:45" x14ac:dyDescent="0.2">
      <c r="A9" s="140">
        <f t="shared" si="0"/>
        <v>6</v>
      </c>
      <c r="B9" s="167"/>
      <c r="C9" s="1088" t="s">
        <v>698</v>
      </c>
      <c r="D9" s="1129"/>
      <c r="E9" s="1129"/>
      <c r="F9" s="1129"/>
      <c r="G9" s="1129"/>
      <c r="H9" s="1129"/>
      <c r="I9" s="1129"/>
      <c r="J9" s="1129"/>
      <c r="K9" s="1129"/>
      <c r="L9" s="1129"/>
      <c r="M9" s="1129"/>
      <c r="N9" s="1129"/>
      <c r="O9" s="1129"/>
      <c r="P9" s="1129"/>
      <c r="Q9" s="1129"/>
      <c r="R9" s="1129"/>
      <c r="S9" s="1129"/>
      <c r="T9" s="1129"/>
      <c r="U9" s="1129"/>
      <c r="V9" s="1129"/>
      <c r="W9" s="1129"/>
      <c r="X9" s="1129"/>
      <c r="Y9" s="1129"/>
      <c r="Z9" s="1129"/>
      <c r="AA9" s="1129"/>
      <c r="AB9" s="1129"/>
      <c r="AC9" s="1129"/>
      <c r="AD9" s="1129"/>
      <c r="AE9" s="1129"/>
      <c r="AF9" s="1129"/>
      <c r="AG9" s="1129"/>
      <c r="AH9" s="1129"/>
      <c r="AI9" s="1129"/>
      <c r="AJ9" s="1129"/>
      <c r="AK9" s="1129"/>
      <c r="AL9" s="1129"/>
      <c r="AM9" s="1130"/>
      <c r="AN9" s="189"/>
      <c r="AP9" s="475"/>
      <c r="AQ9" s="471"/>
      <c r="AR9" s="472"/>
      <c r="AS9" s="472"/>
    </row>
    <row r="10" spans="1:45" x14ac:dyDescent="0.2">
      <c r="A10" s="140">
        <f t="shared" si="0"/>
        <v>7</v>
      </c>
      <c r="B10" s="167"/>
      <c r="C10" s="446"/>
      <c r="D10" s="475" t="s">
        <v>886</v>
      </c>
      <c r="E10" s="434"/>
      <c r="F10" s="502"/>
      <c r="G10" s="502"/>
      <c r="H10" s="502"/>
      <c r="I10" s="502"/>
      <c r="J10" s="502"/>
      <c r="K10" s="502"/>
      <c r="L10" s="502"/>
      <c r="M10" s="502"/>
      <c r="N10" s="502"/>
      <c r="O10" s="502"/>
      <c r="P10" s="502"/>
      <c r="Q10" s="6"/>
      <c r="R10" s="6"/>
      <c r="S10" s="6"/>
      <c r="T10" s="472"/>
      <c r="U10" s="133"/>
      <c r="V10" s="468"/>
      <c r="W10" s="143"/>
      <c r="X10" s="468"/>
      <c r="Y10" s="6"/>
      <c r="Z10" s="6"/>
      <c r="AA10" s="6"/>
      <c r="AB10" s="454"/>
      <c r="AC10" s="454"/>
      <c r="AD10" s="454"/>
      <c r="AE10" s="454"/>
      <c r="AF10" s="454"/>
      <c r="AG10" s="471"/>
      <c r="AH10" s="454"/>
      <c r="AI10" s="455"/>
      <c r="AJ10" s="455"/>
      <c r="AK10" s="512"/>
      <c r="AL10" s="512"/>
      <c r="AM10" s="15"/>
      <c r="AN10" s="189"/>
      <c r="AP10" s="525"/>
      <c r="AQ10" s="471"/>
      <c r="AR10" s="472"/>
      <c r="AS10" s="472"/>
    </row>
    <row r="11" spans="1:45" x14ac:dyDescent="0.2">
      <c r="A11" s="140">
        <f t="shared" si="0"/>
        <v>8</v>
      </c>
      <c r="B11" s="167"/>
      <c r="C11" s="446"/>
      <c r="D11" s="475" t="s">
        <v>699</v>
      </c>
      <c r="E11" s="502"/>
      <c r="F11" s="133"/>
      <c r="G11" s="133"/>
      <c r="H11" s="133"/>
      <c r="I11" s="133"/>
      <c r="J11" s="133"/>
      <c r="K11" s="133"/>
      <c r="L11" s="495"/>
      <c r="M11" s="495"/>
      <c r="N11" s="495"/>
      <c r="O11" s="495"/>
      <c r="P11" s="495"/>
      <c r="Q11" s="173"/>
      <c r="R11" s="173"/>
      <c r="S11" s="6"/>
      <c r="T11" s="6"/>
      <c r="U11" s="496"/>
      <c r="V11" s="468"/>
      <c r="W11" s="143"/>
      <c r="X11" s="143"/>
      <c r="Y11" s="5"/>
      <c r="Z11" s="5"/>
      <c r="AA11" s="134"/>
      <c r="AB11" s="454"/>
      <c r="AC11" s="454"/>
      <c r="AD11" s="454"/>
      <c r="AE11" s="454"/>
      <c r="AF11" s="454"/>
      <c r="AG11" s="471"/>
      <c r="AH11" s="497"/>
      <c r="AI11" s="455"/>
      <c r="AJ11" s="1054"/>
      <c r="AK11" s="1054"/>
      <c r="AL11" s="512"/>
      <c r="AM11" s="15"/>
      <c r="AN11" s="189"/>
      <c r="AP11" s="475"/>
      <c r="AQ11" s="471"/>
      <c r="AR11" s="472"/>
      <c r="AS11" s="472"/>
    </row>
    <row r="12" spans="1:45" x14ac:dyDescent="0.2">
      <c r="A12" s="140">
        <f t="shared" si="0"/>
        <v>9</v>
      </c>
      <c r="B12" s="167"/>
      <c r="C12" s="498"/>
      <c r="D12" s="227" t="s">
        <v>843</v>
      </c>
      <c r="E12" s="173"/>
      <c r="F12" s="173"/>
      <c r="G12" s="173"/>
      <c r="H12" s="173"/>
      <c r="I12" s="173"/>
      <c r="J12" s="173"/>
      <c r="K12" s="173"/>
      <c r="L12" s="502"/>
      <c r="M12" s="502"/>
      <c r="N12" s="502"/>
      <c r="O12" s="502"/>
      <c r="P12" s="173"/>
      <c r="Q12" s="173"/>
      <c r="R12" s="173"/>
      <c r="S12" s="6"/>
      <c r="T12" s="6"/>
      <c r="U12" s="12"/>
      <c r="V12" s="468"/>
      <c r="W12" s="143"/>
      <c r="X12" s="143"/>
      <c r="Y12" s="5"/>
      <c r="Z12" s="5"/>
      <c r="AA12" s="5"/>
      <c r="AB12" s="454"/>
      <c r="AC12" s="454"/>
      <c r="AD12" s="1054"/>
      <c r="AE12" s="1054"/>
      <c r="AF12" s="1054"/>
      <c r="AG12" s="1054"/>
      <c r="AH12" s="1054"/>
      <c r="AI12" s="1054"/>
      <c r="AJ12" s="1054"/>
      <c r="AK12" s="1054"/>
      <c r="AL12" s="512"/>
      <c r="AM12" s="15"/>
      <c r="AN12" s="189"/>
      <c r="AP12" s="475"/>
      <c r="AQ12" s="471"/>
      <c r="AR12" s="475"/>
      <c r="AS12" s="472"/>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6"/>
      <c r="W13" s="143"/>
      <c r="X13" s="468"/>
      <c r="Y13" s="6"/>
      <c r="Z13" s="6"/>
      <c r="AA13" s="6"/>
      <c r="AB13" s="454"/>
      <c r="AC13" s="454"/>
      <c r="AD13" s="1243"/>
      <c r="AE13" s="1243"/>
      <c r="AF13" s="1243"/>
      <c r="AG13" s="1243"/>
      <c r="AH13" s="1243"/>
      <c r="AI13" s="1243"/>
      <c r="AJ13" s="1243"/>
      <c r="AK13" s="1243"/>
      <c r="AL13" s="512"/>
      <c r="AM13" s="15"/>
      <c r="AN13" s="189"/>
      <c r="AP13" s="475"/>
      <c r="AQ13" s="471"/>
      <c r="AR13" s="472"/>
      <c r="AS13" s="472"/>
    </row>
    <row r="14" spans="1:45" x14ac:dyDescent="0.2">
      <c r="A14" s="140">
        <f t="shared" si="0"/>
        <v>11</v>
      </c>
      <c r="B14" s="167"/>
      <c r="C14" s="418"/>
      <c r="D14" s="227" t="s">
        <v>845</v>
      </c>
      <c r="E14" s="495"/>
      <c r="F14" s="133"/>
      <c r="G14" s="133"/>
      <c r="H14" s="133"/>
      <c r="I14" s="133"/>
      <c r="J14" s="133"/>
      <c r="K14" s="495"/>
      <c r="L14" s="495"/>
      <c r="M14" s="450"/>
      <c r="N14" s="450"/>
      <c r="O14" s="450"/>
      <c r="P14" s="450"/>
      <c r="Q14" s="450"/>
      <c r="R14" s="450"/>
      <c r="S14" s="450"/>
      <c r="T14" s="6"/>
      <c r="U14" s="12"/>
      <c r="V14" s="466"/>
      <c r="W14" s="143"/>
      <c r="X14" s="143"/>
      <c r="Y14" s="5"/>
      <c r="Z14" s="5"/>
      <c r="AA14" s="5"/>
      <c r="AB14" s="454"/>
      <c r="AC14" s="454"/>
      <c r="AD14" s="1243"/>
      <c r="AE14" s="1243"/>
      <c r="AF14" s="1243"/>
      <c r="AG14" s="1243"/>
      <c r="AH14" s="1243"/>
      <c r="AI14" s="1243"/>
      <c r="AJ14" s="1243"/>
      <c r="AK14" s="1243"/>
      <c r="AL14" s="455"/>
      <c r="AM14" s="15"/>
      <c r="AN14" s="189"/>
      <c r="AP14" s="463"/>
      <c r="AQ14" s="471"/>
      <c r="AR14" s="472"/>
      <c r="AS14" s="472"/>
    </row>
    <row r="15" spans="1:45" x14ac:dyDescent="0.2">
      <c r="A15" s="140">
        <f t="shared" si="0"/>
        <v>12</v>
      </c>
      <c r="B15" s="167"/>
      <c r="C15" s="500"/>
      <c r="D15" s="227" t="s">
        <v>846</v>
      </c>
      <c r="E15" s="495"/>
      <c r="F15" s="6"/>
      <c r="G15" s="6"/>
      <c r="H15" s="6"/>
      <c r="I15" s="6"/>
      <c r="J15" s="6"/>
      <c r="K15" s="385"/>
      <c r="L15" s="385"/>
      <c r="M15" s="513"/>
      <c r="N15" s="513"/>
      <c r="O15" s="513"/>
      <c r="P15" s="513"/>
      <c r="Q15" s="513"/>
      <c r="R15" s="513"/>
      <c r="S15" s="513"/>
      <c r="T15" s="419"/>
      <c r="U15" s="514"/>
      <c r="V15" s="143"/>
      <c r="W15" s="143"/>
      <c r="X15" s="143"/>
      <c r="Y15" s="5"/>
      <c r="Z15" s="5"/>
      <c r="AA15" s="5"/>
      <c r="AB15" s="454"/>
      <c r="AC15" s="454"/>
      <c r="AD15" s="1243"/>
      <c r="AE15" s="1243"/>
      <c r="AF15" s="1243"/>
      <c r="AG15" s="1243"/>
      <c r="AH15" s="1243"/>
      <c r="AI15" s="1243"/>
      <c r="AJ15" s="1243"/>
      <c r="AK15" s="1243"/>
      <c r="AL15" s="455"/>
      <c r="AM15" s="15"/>
      <c r="AN15" s="189"/>
      <c r="AP15" s="463"/>
      <c r="AQ15" s="471"/>
      <c r="AR15" s="472"/>
      <c r="AS15" s="472"/>
    </row>
    <row r="16" spans="1:45" x14ac:dyDescent="0.2">
      <c r="A16" s="140">
        <f t="shared" si="0"/>
        <v>13</v>
      </c>
      <c r="B16" s="167"/>
      <c r="C16" s="500"/>
      <c r="D16" s="227" t="s">
        <v>847</v>
      </c>
      <c r="E16" s="434"/>
      <c r="F16" s="133"/>
      <c r="G16" s="133"/>
      <c r="H16" s="133"/>
      <c r="I16" s="133"/>
      <c r="J16" s="133"/>
      <c r="K16" s="133"/>
      <c r="L16" s="495"/>
      <c r="M16" s="495"/>
      <c r="N16" s="495"/>
      <c r="O16" s="495"/>
      <c r="P16" s="495"/>
      <c r="Q16" s="133"/>
      <c r="R16" s="133"/>
      <c r="S16" s="6"/>
      <c r="T16" s="6"/>
      <c r="U16" s="515"/>
      <c r="V16" s="502"/>
      <c r="W16" s="143"/>
      <c r="X16" s="143"/>
      <c r="Y16" s="5"/>
      <c r="Z16" s="5"/>
      <c r="AA16" s="5"/>
      <c r="AB16" s="454"/>
      <c r="AC16" s="454"/>
      <c r="AD16" s="1243"/>
      <c r="AE16" s="1243"/>
      <c r="AF16" s="1243"/>
      <c r="AG16" s="1243"/>
      <c r="AH16" s="1243"/>
      <c r="AI16" s="1243"/>
      <c r="AJ16" s="1243"/>
      <c r="AK16" s="1243"/>
      <c r="AL16" s="455"/>
      <c r="AM16" s="15"/>
      <c r="AN16" s="189"/>
      <c r="AP16" s="463"/>
      <c r="AQ16" s="471"/>
      <c r="AR16" s="472"/>
      <c r="AS16" s="472"/>
    </row>
    <row r="17" spans="1:49" x14ac:dyDescent="0.2">
      <c r="A17" s="140">
        <f t="shared" si="0"/>
        <v>14</v>
      </c>
      <c r="B17" s="167"/>
      <c r="C17" s="500"/>
      <c r="D17" s="227" t="s">
        <v>848</v>
      </c>
      <c r="E17" s="495"/>
      <c r="F17" s="133"/>
      <c r="G17" s="133"/>
      <c r="H17" s="133"/>
      <c r="I17" s="133"/>
      <c r="J17" s="133"/>
      <c r="K17" s="385"/>
      <c r="L17" s="495"/>
      <c r="M17" s="450"/>
      <c r="N17" s="450"/>
      <c r="O17" s="450"/>
      <c r="P17" s="450"/>
      <c r="Q17" s="450"/>
      <c r="R17" s="450"/>
      <c r="S17" s="450"/>
      <c r="T17" s="6"/>
      <c r="U17" s="516"/>
      <c r="V17" s="143"/>
      <c r="W17" s="143"/>
      <c r="X17" s="143"/>
      <c r="Y17" s="5"/>
      <c r="Z17" s="5"/>
      <c r="AA17" s="5"/>
      <c r="AB17" s="454"/>
      <c r="AC17" s="454"/>
      <c r="AD17" s="1243"/>
      <c r="AE17" s="1243"/>
      <c r="AF17" s="1243"/>
      <c r="AG17" s="1243"/>
      <c r="AH17" s="1243"/>
      <c r="AI17" s="1243"/>
      <c r="AJ17" s="1243"/>
      <c r="AK17" s="1243"/>
      <c r="AL17" s="455"/>
      <c r="AM17" s="15"/>
      <c r="AN17" s="189"/>
      <c r="AP17" s="463"/>
      <c r="AQ17" s="471"/>
      <c r="AR17" s="472"/>
      <c r="AS17" s="472"/>
    </row>
    <row r="18" spans="1:49" x14ac:dyDescent="0.2">
      <c r="A18" s="140">
        <f t="shared" si="0"/>
        <v>15</v>
      </c>
      <c r="B18" s="167"/>
      <c r="C18" s="500"/>
      <c r="D18" s="227" t="s">
        <v>849</v>
      </c>
      <c r="E18" s="495"/>
      <c r="F18" s="6"/>
      <c r="G18" s="6"/>
      <c r="H18" s="6"/>
      <c r="I18" s="6"/>
      <c r="J18" s="6"/>
      <c r="K18" s="385"/>
      <c r="L18" s="495"/>
      <c r="M18" s="450"/>
      <c r="N18" s="450"/>
      <c r="O18" s="450"/>
      <c r="P18" s="450"/>
      <c r="Q18" s="450"/>
      <c r="R18" s="450"/>
      <c r="S18" s="450"/>
      <c r="T18" s="419"/>
      <c r="U18" s="516"/>
      <c r="V18" s="143"/>
      <c r="W18" s="143"/>
      <c r="X18" s="143"/>
      <c r="Y18" s="5"/>
      <c r="Z18" s="5"/>
      <c r="AA18" s="5"/>
      <c r="AB18" s="454"/>
      <c r="AC18" s="454"/>
      <c r="AD18" s="1243"/>
      <c r="AE18" s="1243"/>
      <c r="AF18" s="1243"/>
      <c r="AG18" s="1243"/>
      <c r="AH18" s="1243"/>
      <c r="AI18" s="1243"/>
      <c r="AJ18" s="1243"/>
      <c r="AK18" s="1243"/>
      <c r="AL18" s="455"/>
      <c r="AM18" s="15"/>
      <c r="AN18" s="189"/>
      <c r="AP18" s="463"/>
      <c r="AQ18" s="471"/>
      <c r="AR18" s="472"/>
      <c r="AS18" s="472"/>
    </row>
    <row r="19" spans="1:49" x14ac:dyDescent="0.2">
      <c r="A19" s="140">
        <f t="shared" si="0"/>
        <v>16</v>
      </c>
      <c r="B19" s="167"/>
      <c r="C19" s="446"/>
      <c r="D19" s="495"/>
      <c r="E19" s="6"/>
      <c r="F19" s="6"/>
      <c r="G19" s="173"/>
      <c r="H19" s="173"/>
      <c r="I19" s="173"/>
      <c r="J19" s="502"/>
      <c r="K19" s="502"/>
      <c r="L19" s="420"/>
      <c r="M19" s="517"/>
      <c r="N19" s="517"/>
      <c r="O19" s="517"/>
      <c r="P19" s="517"/>
      <c r="Q19" s="517"/>
      <c r="R19" s="517"/>
      <c r="S19" s="517"/>
      <c r="T19" s="6"/>
      <c r="U19" s="133"/>
      <c r="V19" s="466"/>
      <c r="W19" s="143"/>
      <c r="X19" s="143"/>
      <c r="Y19" s="5"/>
      <c r="Z19" s="5"/>
      <c r="AA19" s="5"/>
      <c r="AB19" s="454"/>
      <c r="AC19" s="454"/>
      <c r="AD19" s="454"/>
      <c r="AE19" s="454"/>
      <c r="AF19" s="454"/>
      <c r="AG19" s="146"/>
      <c r="AH19" s="146"/>
      <c r="AI19" s="148"/>
      <c r="AJ19" s="148"/>
      <c r="AK19" s="148"/>
      <c r="AL19" s="12"/>
      <c r="AM19" s="15"/>
      <c r="AN19" s="189"/>
      <c r="AP19" s="463"/>
      <c r="AQ19" s="471"/>
      <c r="AR19" s="472"/>
      <c r="AS19" s="472"/>
    </row>
    <row r="20" spans="1:49" x14ac:dyDescent="0.2">
      <c r="A20" s="140">
        <f t="shared" si="0"/>
        <v>17</v>
      </c>
      <c r="B20" s="167"/>
      <c r="C20" s="1088" t="s">
        <v>700</v>
      </c>
      <c r="D20" s="1129"/>
      <c r="E20" s="1129"/>
      <c r="F20" s="1129"/>
      <c r="G20" s="1129"/>
      <c r="H20" s="1129"/>
      <c r="I20" s="1129"/>
      <c r="J20" s="1129"/>
      <c r="K20" s="1129"/>
      <c r="L20" s="1129"/>
      <c r="M20" s="1129"/>
      <c r="N20" s="1129"/>
      <c r="O20" s="1129"/>
      <c r="P20" s="1129"/>
      <c r="Q20" s="1129"/>
      <c r="R20" s="1129"/>
      <c r="S20" s="1129"/>
      <c r="T20" s="1129"/>
      <c r="U20" s="1129"/>
      <c r="V20" s="1129"/>
      <c r="W20" s="1129"/>
      <c r="X20" s="1129"/>
      <c r="Y20" s="1129"/>
      <c r="Z20" s="1129"/>
      <c r="AA20" s="1129"/>
      <c r="AB20" s="1129"/>
      <c r="AC20" s="1129"/>
      <c r="AD20" s="1129"/>
      <c r="AE20" s="1129"/>
      <c r="AF20" s="1129"/>
      <c r="AG20" s="1129"/>
      <c r="AH20" s="1129"/>
      <c r="AI20" s="1129"/>
      <c r="AJ20" s="1129"/>
      <c r="AK20" s="1129"/>
      <c r="AL20" s="1129"/>
      <c r="AM20" s="1130"/>
      <c r="AN20" s="189"/>
      <c r="AP20" s="475"/>
      <c r="AQ20" s="471"/>
      <c r="AR20" s="472"/>
      <c r="AS20" s="472"/>
    </row>
    <row r="21" spans="1:49" x14ac:dyDescent="0.2">
      <c r="A21" s="140">
        <f t="shared" si="0"/>
        <v>18</v>
      </c>
      <c r="B21" s="168"/>
      <c r="C21" s="446"/>
      <c r="D21" s="475" t="s">
        <v>557</v>
      </c>
      <c r="E21" s="6"/>
      <c r="F21" s="6"/>
      <c r="G21" s="6"/>
      <c r="H21" s="173"/>
      <c r="I21" s="173"/>
      <c r="J21" s="173"/>
      <c r="K21" s="173"/>
      <c r="L21" s="420"/>
      <c r="M21" s="517"/>
      <c r="N21" s="517"/>
      <c r="O21" s="517"/>
      <c r="P21" s="517"/>
      <c r="Q21" s="517"/>
      <c r="R21" s="517"/>
      <c r="S21" s="517"/>
      <c r="T21" s="6"/>
      <c r="U21" s="12"/>
      <c r="V21" s="502"/>
      <c r="W21" s="143"/>
      <c r="X21" s="143"/>
      <c r="Y21" s="5"/>
      <c r="Z21" s="5"/>
      <c r="AA21" s="5"/>
      <c r="AB21" s="454" t="s">
        <v>776</v>
      </c>
      <c r="AC21" s="454"/>
      <c r="AD21" s="454"/>
      <c r="AE21" s="471"/>
      <c r="AF21" s="454"/>
      <c r="AG21" s="499"/>
      <c r="AH21" s="497"/>
      <c r="AI21" s="455"/>
      <c r="AJ21" s="1107"/>
      <c r="AK21" s="1107"/>
      <c r="AL21" s="455"/>
      <c r="AM21" s="15"/>
      <c r="AN21" s="208"/>
      <c r="AP21" s="525"/>
      <c r="AQ21" s="471"/>
      <c r="AR21" s="472"/>
      <c r="AS21" s="472"/>
    </row>
    <row r="22" spans="1:49" ht="12.75" customHeight="1" x14ac:dyDescent="0.2">
      <c r="A22" s="140"/>
      <c r="B22" s="171"/>
      <c r="C22" s="518"/>
      <c r="D22" s="475" t="s">
        <v>777</v>
      </c>
      <c r="E22" s="452"/>
      <c r="F22" s="452"/>
      <c r="G22" s="452"/>
      <c r="H22" s="452"/>
      <c r="I22" s="452"/>
      <c r="J22" s="452"/>
      <c r="K22" s="452"/>
      <c r="L22" s="452"/>
      <c r="M22" s="452"/>
      <c r="N22" s="452"/>
      <c r="O22" s="452"/>
      <c r="P22" s="452"/>
      <c r="Q22" s="452"/>
      <c r="R22" s="452"/>
      <c r="S22" s="452"/>
      <c r="T22" s="452"/>
      <c r="U22" s="12"/>
      <c r="V22" s="502"/>
      <c r="W22" s="502"/>
      <c r="X22" s="143"/>
      <c r="Y22" s="5"/>
      <c r="Z22" s="5"/>
      <c r="AA22" s="5"/>
      <c r="AB22" s="454"/>
      <c r="AC22" s="454"/>
      <c r="AD22" s="454"/>
      <c r="AE22" s="471"/>
      <c r="AF22" s="454"/>
      <c r="AG22" s="499"/>
      <c r="AH22" s="497"/>
      <c r="AI22" s="455"/>
      <c r="AJ22" s="455"/>
      <c r="AK22" s="455"/>
      <c r="AL22" s="455"/>
      <c r="AM22" s="15"/>
      <c r="AN22" s="207"/>
      <c r="AP22" s="475"/>
      <c r="AQ22" s="471"/>
      <c r="AR22" s="475"/>
      <c r="AS22" s="472"/>
    </row>
    <row r="23" spans="1:49" x14ac:dyDescent="0.2">
      <c r="A23" s="140">
        <f>A21+1</f>
        <v>19</v>
      </c>
      <c r="B23" s="167"/>
      <c r="C23" s="519"/>
      <c r="D23" s="1234" t="s">
        <v>558</v>
      </c>
      <c r="E23" s="1234"/>
      <c r="F23" s="1234"/>
      <c r="G23" s="1234"/>
      <c r="H23" s="1234"/>
      <c r="I23" s="1234"/>
      <c r="J23" s="1234"/>
      <c r="K23" s="1234"/>
      <c r="L23" s="1234"/>
      <c r="M23" s="1234"/>
      <c r="N23" s="1234" t="s">
        <v>534</v>
      </c>
      <c r="O23" s="1234"/>
      <c r="P23" s="1234"/>
      <c r="Q23" s="1234"/>
      <c r="R23" s="1234"/>
      <c r="S23" s="1234"/>
      <c r="T23" s="1234"/>
      <c r="U23" s="1234"/>
      <c r="V23" s="1234" t="s">
        <v>542</v>
      </c>
      <c r="W23" s="1234"/>
      <c r="X23" s="1234"/>
      <c r="Y23" s="1234"/>
      <c r="Z23" s="1234"/>
      <c r="AA23" s="1234"/>
      <c r="AB23" s="1234"/>
      <c r="AC23" s="1234"/>
      <c r="AD23" s="1234" t="s">
        <v>543</v>
      </c>
      <c r="AE23" s="1234"/>
      <c r="AF23" s="1234"/>
      <c r="AG23" s="1234"/>
      <c r="AH23" s="1234"/>
      <c r="AI23" s="1234"/>
      <c r="AJ23" s="1234"/>
      <c r="AK23" s="1234"/>
      <c r="AL23" s="520"/>
      <c r="AM23" s="15"/>
      <c r="AN23" s="189"/>
      <c r="AP23" s="475"/>
      <c r="AQ23" s="471"/>
      <c r="AR23" s="472"/>
      <c r="AS23" s="472"/>
    </row>
    <row r="24" spans="1:49" x14ac:dyDescent="0.2">
      <c r="A24" s="140">
        <f t="shared" si="0"/>
        <v>20</v>
      </c>
      <c r="B24" s="167"/>
      <c r="C24" s="418"/>
      <c r="D24" s="527" t="s">
        <v>530</v>
      </c>
      <c r="E24" s="528"/>
      <c r="F24" s="529"/>
      <c r="G24" s="529"/>
      <c r="H24" s="529"/>
      <c r="I24" s="529"/>
      <c r="J24" s="529"/>
      <c r="K24" s="529"/>
      <c r="L24" s="529"/>
      <c r="M24" s="529"/>
      <c r="N24" s="1240"/>
      <c r="O24" s="1241"/>
      <c r="P24" s="1241"/>
      <c r="Q24" s="1241"/>
      <c r="R24" s="1241"/>
      <c r="S24" s="1241"/>
      <c r="T24" s="1241"/>
      <c r="U24" s="1242"/>
      <c r="V24" s="1240"/>
      <c r="W24" s="1241"/>
      <c r="X24" s="1241"/>
      <c r="Y24" s="1241"/>
      <c r="Z24" s="1241"/>
      <c r="AA24" s="1241"/>
      <c r="AB24" s="1241"/>
      <c r="AC24" s="1242"/>
      <c r="AD24" s="1240"/>
      <c r="AE24" s="1241"/>
      <c r="AF24" s="1241"/>
      <c r="AG24" s="1241"/>
      <c r="AH24" s="1241"/>
      <c r="AI24" s="1241"/>
      <c r="AJ24" s="1241"/>
      <c r="AK24" s="1242"/>
      <c r="AL24" s="455"/>
      <c r="AM24" s="15"/>
      <c r="AN24" s="189"/>
      <c r="AP24" s="475"/>
      <c r="AQ24" s="471"/>
      <c r="AR24" s="472"/>
      <c r="AS24" s="472"/>
    </row>
    <row r="25" spans="1:49" x14ac:dyDescent="0.2">
      <c r="A25" s="140">
        <f t="shared" si="0"/>
        <v>21</v>
      </c>
      <c r="B25" s="167"/>
      <c r="C25" s="389"/>
      <c r="D25" s="530" t="s">
        <v>544</v>
      </c>
      <c r="E25" s="531"/>
      <c r="F25" s="532"/>
      <c r="G25" s="532"/>
      <c r="H25" s="532"/>
      <c r="I25" s="532"/>
      <c r="J25" s="532"/>
      <c r="K25" s="532"/>
      <c r="L25" s="532"/>
      <c r="M25" s="532"/>
      <c r="N25" s="1235"/>
      <c r="O25" s="1070"/>
      <c r="P25" s="1070"/>
      <c r="Q25" s="1070"/>
      <c r="R25" s="1070"/>
      <c r="S25" s="1070"/>
      <c r="T25" s="1070"/>
      <c r="U25" s="1236"/>
      <c r="V25" s="1235"/>
      <c r="W25" s="1070"/>
      <c r="X25" s="1070"/>
      <c r="Y25" s="1070"/>
      <c r="Z25" s="1070"/>
      <c r="AA25" s="1070"/>
      <c r="AB25" s="1070"/>
      <c r="AC25" s="1236"/>
      <c r="AD25" s="1235"/>
      <c r="AE25" s="1070"/>
      <c r="AF25" s="1070"/>
      <c r="AG25" s="1070"/>
      <c r="AH25" s="1070"/>
      <c r="AI25" s="1070"/>
      <c r="AJ25" s="1070"/>
      <c r="AK25" s="1236"/>
      <c r="AL25" s="455"/>
      <c r="AM25" s="103"/>
      <c r="AN25" s="189"/>
      <c r="AP25" s="475"/>
      <c r="AQ25" s="471"/>
      <c r="AR25" s="472"/>
      <c r="AS25" s="472"/>
    </row>
    <row r="26" spans="1:49" s="23" customFormat="1" ht="13.35" customHeight="1" x14ac:dyDescent="0.2">
      <c r="A26" s="140">
        <f t="shared" si="0"/>
        <v>22</v>
      </c>
      <c r="B26" s="167"/>
      <c r="C26" s="418"/>
      <c r="D26" s="530" t="s">
        <v>545</v>
      </c>
      <c r="E26" s="533"/>
      <c r="F26" s="534"/>
      <c r="G26" s="534"/>
      <c r="H26" s="534"/>
      <c r="I26" s="534"/>
      <c r="J26" s="535"/>
      <c r="K26" s="535"/>
      <c r="L26" s="535"/>
      <c r="M26" s="535"/>
      <c r="N26" s="1235"/>
      <c r="O26" s="1070"/>
      <c r="P26" s="1070"/>
      <c r="Q26" s="1070"/>
      <c r="R26" s="1070"/>
      <c r="S26" s="1070"/>
      <c r="T26" s="1070"/>
      <c r="U26" s="1236"/>
      <c r="V26" s="1235"/>
      <c r="W26" s="1070"/>
      <c r="X26" s="1070"/>
      <c r="Y26" s="1070"/>
      <c r="Z26" s="1070"/>
      <c r="AA26" s="1070"/>
      <c r="AB26" s="1070"/>
      <c r="AC26" s="1236"/>
      <c r="AD26" s="1235"/>
      <c r="AE26" s="1070"/>
      <c r="AF26" s="1070"/>
      <c r="AG26" s="1070"/>
      <c r="AH26" s="1070"/>
      <c r="AI26" s="1070"/>
      <c r="AJ26" s="1070"/>
      <c r="AK26" s="1236"/>
      <c r="AL26" s="478"/>
      <c r="AM26" s="160"/>
      <c r="AN26" s="206"/>
      <c r="AP26" s="475"/>
      <c r="AQ26" s="471"/>
      <c r="AR26" s="472"/>
      <c r="AS26" s="472"/>
      <c r="AT26" s="3"/>
      <c r="AU26" s="3"/>
      <c r="AV26" s="3"/>
      <c r="AW26" s="3"/>
    </row>
    <row r="27" spans="1:49" x14ac:dyDescent="0.2">
      <c r="A27" s="140">
        <f t="shared" si="0"/>
        <v>23</v>
      </c>
      <c r="B27" s="167"/>
      <c r="C27" s="501"/>
      <c r="D27" s="536" t="s">
        <v>546</v>
      </c>
      <c r="E27" s="537"/>
      <c r="F27" s="537"/>
      <c r="G27" s="537"/>
      <c r="H27" s="537"/>
      <c r="I27" s="537"/>
      <c r="J27" s="537"/>
      <c r="K27" s="537"/>
      <c r="L27" s="537"/>
      <c r="M27" s="537"/>
      <c r="N27" s="1235"/>
      <c r="O27" s="1070"/>
      <c r="P27" s="1070"/>
      <c r="Q27" s="1070"/>
      <c r="R27" s="1070"/>
      <c r="S27" s="1070"/>
      <c r="T27" s="1070"/>
      <c r="U27" s="1236"/>
      <c r="V27" s="1235"/>
      <c r="W27" s="1070"/>
      <c r="X27" s="1070"/>
      <c r="Y27" s="1070"/>
      <c r="Z27" s="1070"/>
      <c r="AA27" s="1070"/>
      <c r="AB27" s="1070"/>
      <c r="AC27" s="1236"/>
      <c r="AD27" s="1235"/>
      <c r="AE27" s="1070"/>
      <c r="AF27" s="1070"/>
      <c r="AG27" s="1070"/>
      <c r="AH27" s="1070"/>
      <c r="AI27" s="1070"/>
      <c r="AJ27" s="1070"/>
      <c r="AK27" s="1236"/>
      <c r="AL27" s="478"/>
      <c r="AM27" s="103"/>
      <c r="AN27" s="189"/>
      <c r="AP27" s="475"/>
      <c r="AQ27" s="471"/>
      <c r="AR27" s="472"/>
      <c r="AS27" s="472"/>
    </row>
    <row r="28" spans="1:49" x14ac:dyDescent="0.2">
      <c r="A28" s="140">
        <f t="shared" si="0"/>
        <v>24</v>
      </c>
      <c r="B28" s="167"/>
      <c r="C28" s="418"/>
      <c r="D28" s="538" t="s">
        <v>547</v>
      </c>
      <c r="E28" s="539"/>
      <c r="F28" s="539"/>
      <c r="G28" s="540"/>
      <c r="H28" s="540"/>
      <c r="I28" s="540"/>
      <c r="J28" s="540"/>
      <c r="K28" s="539"/>
      <c r="L28" s="539"/>
      <c r="M28" s="539"/>
      <c r="N28" s="1237"/>
      <c r="O28" s="1238"/>
      <c r="P28" s="1238"/>
      <c r="Q28" s="1238"/>
      <c r="R28" s="1238"/>
      <c r="S28" s="1238"/>
      <c r="T28" s="1238"/>
      <c r="U28" s="1239"/>
      <c r="V28" s="1237"/>
      <c r="W28" s="1238"/>
      <c r="X28" s="1238"/>
      <c r="Y28" s="1238"/>
      <c r="Z28" s="1238"/>
      <c r="AA28" s="1238"/>
      <c r="AB28" s="1238"/>
      <c r="AC28" s="1239"/>
      <c r="AD28" s="1237"/>
      <c r="AE28" s="1238"/>
      <c r="AF28" s="1238"/>
      <c r="AG28" s="1238"/>
      <c r="AH28" s="1238"/>
      <c r="AI28" s="1238"/>
      <c r="AJ28" s="1238"/>
      <c r="AK28" s="1239"/>
      <c r="AL28" s="455"/>
      <c r="AM28" s="103"/>
      <c r="AN28" s="189"/>
      <c r="AP28" s="475"/>
      <c r="AQ28" s="471"/>
      <c r="AR28" s="472"/>
      <c r="AS28" s="472"/>
    </row>
    <row r="29" spans="1:49" x14ac:dyDescent="0.2">
      <c r="A29" s="140">
        <f t="shared" si="0"/>
        <v>25</v>
      </c>
      <c r="B29" s="167"/>
      <c r="C29" s="446"/>
      <c r="D29" s="454"/>
      <c r="E29" s="35"/>
      <c r="F29" s="6"/>
      <c r="G29" s="6"/>
      <c r="H29" s="20"/>
      <c r="I29" s="6"/>
      <c r="J29" s="6"/>
      <c r="K29" s="6"/>
      <c r="L29" s="20"/>
      <c r="M29" s="454"/>
      <c r="N29" s="146"/>
      <c r="O29" s="454"/>
      <c r="P29" s="517"/>
      <c r="Q29" s="517"/>
      <c r="R29" s="517"/>
      <c r="S29" s="517"/>
      <c r="T29" s="6"/>
      <c r="U29" s="133"/>
      <c r="V29" s="471"/>
      <c r="W29" s="472"/>
      <c r="X29" s="471"/>
      <c r="Y29" s="449"/>
      <c r="Z29" s="449"/>
      <c r="AA29" s="449"/>
      <c r="AB29" s="449"/>
      <c r="AC29" s="449"/>
      <c r="AD29" s="449"/>
      <c r="AE29" s="449"/>
      <c r="AF29" s="449"/>
      <c r="AG29" s="449"/>
      <c r="AH29" s="449"/>
      <c r="AI29" s="449"/>
      <c r="AJ29" s="449"/>
      <c r="AK29" s="449"/>
      <c r="AL29" s="449"/>
      <c r="AM29" s="103"/>
      <c r="AN29" s="189"/>
      <c r="AP29" s="475"/>
      <c r="AQ29" s="471"/>
      <c r="AR29" s="472"/>
      <c r="AS29" s="472"/>
    </row>
    <row r="30" spans="1:49" ht="13.35" customHeight="1" x14ac:dyDescent="0.2">
      <c r="A30" s="140">
        <f t="shared" si="0"/>
        <v>26</v>
      </c>
      <c r="B30" s="167"/>
      <c r="C30" s="446"/>
      <c r="D30" s="836" t="s">
        <v>712</v>
      </c>
      <c r="E30" s="454"/>
      <c r="F30" s="6"/>
      <c r="G30" s="6"/>
      <c r="H30" s="6"/>
      <c r="I30" s="6"/>
      <c r="J30" s="6"/>
      <c r="K30" s="6"/>
      <c r="L30" s="6"/>
      <c r="M30" s="6"/>
      <c r="N30" s="146"/>
      <c r="O30" s="454"/>
      <c r="P30" s="517"/>
      <c r="Q30" s="517"/>
      <c r="R30" s="517"/>
      <c r="S30" s="517"/>
      <c r="T30" s="6"/>
      <c r="U30" s="133"/>
      <c r="V30" s="472"/>
      <c r="W30" s="475"/>
      <c r="X30" s="451"/>
      <c r="Y30" s="451"/>
      <c r="Z30" s="451"/>
      <c r="AA30" s="451"/>
      <c r="AB30" s="451"/>
      <c r="AC30" s="451"/>
      <c r="AD30" s="451"/>
      <c r="AE30" s="451"/>
      <c r="AF30" s="451"/>
      <c r="AG30" s="451"/>
      <c r="AH30" s="451"/>
      <c r="AI30" s="451"/>
      <c r="AJ30" s="451"/>
      <c r="AK30" s="455"/>
      <c r="AL30" s="455"/>
      <c r="AM30" s="103"/>
      <c r="AN30" s="189"/>
      <c r="AP30" s="475"/>
      <c r="AQ30" s="471"/>
      <c r="AR30" s="472"/>
      <c r="AS30" s="472"/>
    </row>
    <row r="31" spans="1:49" x14ac:dyDescent="0.2">
      <c r="A31" s="140">
        <f t="shared" si="0"/>
        <v>27</v>
      </c>
      <c r="B31" s="167"/>
      <c r="C31" s="498"/>
      <c r="D31" s="1232"/>
      <c r="E31" s="1232"/>
      <c r="F31" s="1232"/>
      <c r="G31" s="1232"/>
      <c r="H31" s="1232"/>
      <c r="I31" s="1232"/>
      <c r="J31" s="1232"/>
      <c r="K31" s="1232"/>
      <c r="L31" s="1232"/>
      <c r="M31" s="1232"/>
      <c r="N31" s="1232"/>
      <c r="O31" s="1232"/>
      <c r="P31" s="1232"/>
      <c r="Q31" s="1232"/>
      <c r="R31" s="1232"/>
      <c r="S31" s="1232"/>
      <c r="T31" s="1232"/>
      <c r="U31" s="1232"/>
      <c r="V31" s="1232"/>
      <c r="W31" s="1232"/>
      <c r="X31" s="1232"/>
      <c r="Y31" s="1232"/>
      <c r="Z31" s="1232"/>
      <c r="AA31" s="1232"/>
      <c r="AB31" s="1232"/>
      <c r="AC31" s="1232"/>
      <c r="AD31" s="1232"/>
      <c r="AE31" s="1232"/>
      <c r="AF31" s="1232"/>
      <c r="AG31" s="1232"/>
      <c r="AH31" s="1232"/>
      <c r="AI31" s="1232"/>
      <c r="AJ31" s="1232"/>
      <c r="AK31" s="1232"/>
      <c r="AL31" s="451"/>
      <c r="AM31" s="116"/>
      <c r="AN31" s="189"/>
      <c r="AP31" s="475"/>
      <c r="AQ31" s="471"/>
      <c r="AR31" s="472"/>
      <c r="AS31" s="472"/>
    </row>
    <row r="32" spans="1:49" x14ac:dyDescent="0.2">
      <c r="A32" s="140">
        <f t="shared" si="0"/>
        <v>28</v>
      </c>
      <c r="B32" s="167"/>
      <c r="C32" s="501"/>
      <c r="D32" s="1232"/>
      <c r="E32" s="1232"/>
      <c r="F32" s="1232"/>
      <c r="G32" s="1232"/>
      <c r="H32" s="1232"/>
      <c r="I32" s="1232"/>
      <c r="J32" s="1232"/>
      <c r="K32" s="1232"/>
      <c r="L32" s="1232"/>
      <c r="M32" s="1232"/>
      <c r="N32" s="1232"/>
      <c r="O32" s="1232"/>
      <c r="P32" s="1232"/>
      <c r="Q32" s="1232"/>
      <c r="R32" s="1232"/>
      <c r="S32" s="1232"/>
      <c r="T32" s="1232"/>
      <c r="U32" s="1232"/>
      <c r="V32" s="1232"/>
      <c r="W32" s="1232"/>
      <c r="X32" s="1232"/>
      <c r="Y32" s="1232"/>
      <c r="Z32" s="1232"/>
      <c r="AA32" s="1232"/>
      <c r="AB32" s="1232"/>
      <c r="AC32" s="1232"/>
      <c r="AD32" s="1232"/>
      <c r="AE32" s="1232"/>
      <c r="AF32" s="1232"/>
      <c r="AG32" s="1232"/>
      <c r="AH32" s="1232"/>
      <c r="AI32" s="1232"/>
      <c r="AJ32" s="1232"/>
      <c r="AK32" s="1232"/>
      <c r="AL32" s="451"/>
      <c r="AM32" s="15"/>
      <c r="AN32" s="189"/>
      <c r="AP32" s="475"/>
      <c r="AQ32" s="471"/>
      <c r="AR32" s="472"/>
      <c r="AS32" s="472"/>
    </row>
    <row r="33" spans="1:45" ht="13.35" customHeight="1" x14ac:dyDescent="0.2">
      <c r="A33" s="140">
        <f t="shared" si="0"/>
        <v>29</v>
      </c>
      <c r="B33" s="167"/>
      <c r="C33" s="521"/>
      <c r="D33" s="1232"/>
      <c r="E33" s="1232"/>
      <c r="F33" s="1232"/>
      <c r="G33" s="1232"/>
      <c r="H33" s="1232"/>
      <c r="I33" s="1232"/>
      <c r="J33" s="1232"/>
      <c r="K33" s="1232"/>
      <c r="L33" s="1232"/>
      <c r="M33" s="1232"/>
      <c r="N33" s="1232"/>
      <c r="O33" s="1232"/>
      <c r="P33" s="1232"/>
      <c r="Q33" s="1232"/>
      <c r="R33" s="1232"/>
      <c r="S33" s="1232"/>
      <c r="T33" s="1232"/>
      <c r="U33" s="1232"/>
      <c r="V33" s="1232"/>
      <c r="W33" s="1232"/>
      <c r="X33" s="1232"/>
      <c r="Y33" s="1232"/>
      <c r="Z33" s="1232"/>
      <c r="AA33" s="1232"/>
      <c r="AB33" s="1232"/>
      <c r="AC33" s="1232"/>
      <c r="AD33" s="1232"/>
      <c r="AE33" s="1232"/>
      <c r="AF33" s="1232"/>
      <c r="AG33" s="1232"/>
      <c r="AH33" s="1232"/>
      <c r="AI33" s="1232"/>
      <c r="AJ33" s="1232"/>
      <c r="AK33" s="1232"/>
      <c r="AL33" s="451"/>
      <c r="AM33" s="15"/>
      <c r="AN33" s="189"/>
      <c r="AP33" s="526"/>
      <c r="AQ33" s="471"/>
      <c r="AR33" s="472"/>
      <c r="AS33" s="472"/>
    </row>
    <row r="34" spans="1:45" x14ac:dyDescent="0.2">
      <c r="A34" s="140">
        <f t="shared" si="0"/>
        <v>30</v>
      </c>
      <c r="B34" s="167"/>
      <c r="C34" s="522"/>
      <c r="D34" s="1232"/>
      <c r="E34" s="1232"/>
      <c r="F34" s="1232"/>
      <c r="G34" s="1232"/>
      <c r="H34" s="1232"/>
      <c r="I34" s="1232"/>
      <c r="J34" s="1232"/>
      <c r="K34" s="1232"/>
      <c r="L34" s="1232"/>
      <c r="M34" s="1232"/>
      <c r="N34" s="1232"/>
      <c r="O34" s="1232"/>
      <c r="P34" s="1232"/>
      <c r="Q34" s="1232"/>
      <c r="R34" s="1232"/>
      <c r="S34" s="1232"/>
      <c r="T34" s="1232"/>
      <c r="U34" s="1232"/>
      <c r="V34" s="1232"/>
      <c r="W34" s="1232"/>
      <c r="X34" s="1232"/>
      <c r="Y34" s="1232"/>
      <c r="Z34" s="1232"/>
      <c r="AA34" s="1232"/>
      <c r="AB34" s="1232"/>
      <c r="AC34" s="1232"/>
      <c r="AD34" s="1232"/>
      <c r="AE34" s="1232"/>
      <c r="AF34" s="1232"/>
      <c r="AG34" s="1232"/>
      <c r="AH34" s="1232"/>
      <c r="AI34" s="1232"/>
      <c r="AJ34" s="1232"/>
      <c r="AK34" s="1232"/>
      <c r="AL34" s="451"/>
      <c r="AM34" s="15"/>
      <c r="AN34" s="189"/>
      <c r="AP34" s="488"/>
      <c r="AQ34" s="471"/>
      <c r="AR34" s="472"/>
      <c r="AS34" s="472"/>
    </row>
    <row r="35" spans="1:45" x14ac:dyDescent="0.2">
      <c r="A35" s="140">
        <f t="shared" si="0"/>
        <v>31</v>
      </c>
      <c r="B35" s="167"/>
      <c r="C35" s="523"/>
      <c r="D35" s="1232"/>
      <c r="E35" s="1232"/>
      <c r="F35" s="1232"/>
      <c r="G35" s="1232"/>
      <c r="H35" s="1232"/>
      <c r="I35" s="1232"/>
      <c r="J35" s="1232"/>
      <c r="K35" s="1232"/>
      <c r="L35" s="1232"/>
      <c r="M35" s="1232"/>
      <c r="N35" s="1232"/>
      <c r="O35" s="1232"/>
      <c r="P35" s="1232"/>
      <c r="Q35" s="1232"/>
      <c r="R35" s="1232"/>
      <c r="S35" s="1232"/>
      <c r="T35" s="1232"/>
      <c r="U35" s="1232"/>
      <c r="V35" s="1232"/>
      <c r="W35" s="1232"/>
      <c r="X35" s="1232"/>
      <c r="Y35" s="1232"/>
      <c r="Z35" s="1232"/>
      <c r="AA35" s="1232"/>
      <c r="AB35" s="1232"/>
      <c r="AC35" s="1232"/>
      <c r="AD35" s="1232"/>
      <c r="AE35" s="1232"/>
      <c r="AF35" s="1232"/>
      <c r="AG35" s="1232"/>
      <c r="AH35" s="1232"/>
      <c r="AI35" s="1232"/>
      <c r="AJ35" s="1232"/>
      <c r="AK35" s="1232"/>
      <c r="AL35" s="451"/>
      <c r="AM35" s="15"/>
      <c r="AN35" s="189"/>
      <c r="AP35" s="488"/>
      <c r="AQ35" s="471"/>
      <c r="AR35" s="472"/>
      <c r="AS35" s="472"/>
    </row>
    <row r="36" spans="1:45" x14ac:dyDescent="0.2">
      <c r="A36" s="140">
        <f t="shared" si="0"/>
        <v>32</v>
      </c>
      <c r="B36" s="167"/>
      <c r="C36" s="523"/>
      <c r="D36" s="1232"/>
      <c r="E36" s="1232"/>
      <c r="F36" s="1232"/>
      <c r="G36" s="1232"/>
      <c r="H36" s="1232"/>
      <c r="I36" s="1232"/>
      <c r="J36" s="1232"/>
      <c r="K36" s="1232"/>
      <c r="L36" s="1232"/>
      <c r="M36" s="1232"/>
      <c r="N36" s="1232"/>
      <c r="O36" s="1232"/>
      <c r="P36" s="1232"/>
      <c r="Q36" s="1232"/>
      <c r="R36" s="1232"/>
      <c r="S36" s="1232"/>
      <c r="T36" s="1232"/>
      <c r="U36" s="1232"/>
      <c r="V36" s="1232"/>
      <c r="W36" s="1232"/>
      <c r="X36" s="1232"/>
      <c r="Y36" s="1232"/>
      <c r="Z36" s="1232"/>
      <c r="AA36" s="1232"/>
      <c r="AB36" s="1232"/>
      <c r="AC36" s="1232"/>
      <c r="AD36" s="1232"/>
      <c r="AE36" s="1232"/>
      <c r="AF36" s="1232"/>
      <c r="AG36" s="1232"/>
      <c r="AH36" s="1232"/>
      <c r="AI36" s="1232"/>
      <c r="AJ36" s="1232"/>
      <c r="AK36" s="1232"/>
      <c r="AL36" s="451"/>
      <c r="AM36" s="15"/>
      <c r="AN36" s="189"/>
      <c r="AP36" s="466"/>
      <c r="AQ36" s="471"/>
      <c r="AR36" s="472"/>
      <c r="AS36" s="472"/>
    </row>
    <row r="37" spans="1:45" x14ac:dyDescent="0.2">
      <c r="A37" s="140">
        <f t="shared" si="0"/>
        <v>33</v>
      </c>
      <c r="B37" s="167"/>
      <c r="C37" s="523"/>
      <c r="D37" s="1232"/>
      <c r="E37" s="1232"/>
      <c r="F37" s="1232"/>
      <c r="G37" s="1232"/>
      <c r="H37" s="1232"/>
      <c r="I37" s="1232"/>
      <c r="J37" s="1232"/>
      <c r="K37" s="1232"/>
      <c r="L37" s="1232"/>
      <c r="M37" s="1232"/>
      <c r="N37" s="1232"/>
      <c r="O37" s="1232"/>
      <c r="P37" s="1232"/>
      <c r="Q37" s="1232"/>
      <c r="R37" s="1232"/>
      <c r="S37" s="1232"/>
      <c r="T37" s="1232"/>
      <c r="U37" s="1232"/>
      <c r="V37" s="1232"/>
      <c r="W37" s="1232"/>
      <c r="X37" s="1232"/>
      <c r="Y37" s="1232"/>
      <c r="Z37" s="1232"/>
      <c r="AA37" s="1232"/>
      <c r="AB37" s="1232"/>
      <c r="AC37" s="1232"/>
      <c r="AD37" s="1232"/>
      <c r="AE37" s="1232"/>
      <c r="AF37" s="1232"/>
      <c r="AG37" s="1232"/>
      <c r="AH37" s="1232"/>
      <c r="AI37" s="1232"/>
      <c r="AJ37" s="1232"/>
      <c r="AK37" s="1232"/>
      <c r="AL37" s="451"/>
      <c r="AM37" s="15"/>
      <c r="AN37" s="189"/>
      <c r="AP37" s="472"/>
      <c r="AQ37" s="471"/>
      <c r="AR37" s="472"/>
      <c r="AS37" s="472"/>
    </row>
    <row r="38" spans="1:45" x14ac:dyDescent="0.2">
      <c r="A38" s="140">
        <f t="shared" si="0"/>
        <v>34</v>
      </c>
      <c r="B38" s="167"/>
      <c r="C38" s="446"/>
      <c r="D38" s="1232"/>
      <c r="E38" s="1232"/>
      <c r="F38" s="1232"/>
      <c r="G38" s="1232"/>
      <c r="H38" s="1232"/>
      <c r="I38" s="1232"/>
      <c r="J38" s="1232"/>
      <c r="K38" s="1232"/>
      <c r="L38" s="1232"/>
      <c r="M38" s="1232"/>
      <c r="N38" s="1232"/>
      <c r="O38" s="1232"/>
      <c r="P38" s="1232"/>
      <c r="Q38" s="1232"/>
      <c r="R38" s="1232"/>
      <c r="S38" s="1232"/>
      <c r="T38" s="1232"/>
      <c r="U38" s="1232"/>
      <c r="V38" s="1232"/>
      <c r="W38" s="1232"/>
      <c r="X38" s="1232"/>
      <c r="Y38" s="1232"/>
      <c r="Z38" s="1232"/>
      <c r="AA38" s="1232"/>
      <c r="AB38" s="1232"/>
      <c r="AC38" s="1232"/>
      <c r="AD38" s="1232"/>
      <c r="AE38" s="1232"/>
      <c r="AF38" s="1232"/>
      <c r="AG38" s="1232"/>
      <c r="AH38" s="1232"/>
      <c r="AI38" s="1232"/>
      <c r="AJ38" s="1232"/>
      <c r="AK38" s="1232"/>
      <c r="AL38" s="451"/>
      <c r="AM38" s="15"/>
      <c r="AN38" s="189"/>
      <c r="AP38" s="472"/>
      <c r="AQ38" s="471"/>
      <c r="AR38" s="472"/>
      <c r="AS38" s="472"/>
    </row>
    <row r="39" spans="1:45" x14ac:dyDescent="0.2">
      <c r="A39" s="140">
        <f t="shared" si="0"/>
        <v>35</v>
      </c>
      <c r="B39" s="167"/>
      <c r="C39" s="519"/>
      <c r="D39" s="1232"/>
      <c r="E39" s="1232"/>
      <c r="F39" s="1232"/>
      <c r="G39" s="1232"/>
      <c r="H39" s="1232"/>
      <c r="I39" s="1232"/>
      <c r="J39" s="1232"/>
      <c r="K39" s="1232"/>
      <c r="L39" s="1232"/>
      <c r="M39" s="1232"/>
      <c r="N39" s="1232"/>
      <c r="O39" s="1232"/>
      <c r="P39" s="1232"/>
      <c r="Q39" s="1232"/>
      <c r="R39" s="1232"/>
      <c r="S39" s="1232"/>
      <c r="T39" s="1232"/>
      <c r="U39" s="1232"/>
      <c r="V39" s="1232"/>
      <c r="W39" s="1232"/>
      <c r="X39" s="1232"/>
      <c r="Y39" s="1232"/>
      <c r="Z39" s="1232"/>
      <c r="AA39" s="1232"/>
      <c r="AB39" s="1232"/>
      <c r="AC39" s="1232"/>
      <c r="AD39" s="1232"/>
      <c r="AE39" s="1232"/>
      <c r="AF39" s="1232"/>
      <c r="AG39" s="1232"/>
      <c r="AH39" s="1232"/>
      <c r="AI39" s="1232"/>
      <c r="AJ39" s="1232"/>
      <c r="AK39" s="1232"/>
      <c r="AL39" s="451"/>
      <c r="AM39" s="15"/>
      <c r="AN39" s="189"/>
      <c r="AP39" s="472"/>
      <c r="AQ39" s="471"/>
      <c r="AR39" s="472"/>
      <c r="AS39" s="472"/>
    </row>
    <row r="40" spans="1:45" x14ac:dyDescent="0.2">
      <c r="A40" s="140">
        <f t="shared" si="0"/>
        <v>36</v>
      </c>
      <c r="B40" s="167"/>
      <c r="C40" s="416"/>
      <c r="D40" s="1232"/>
      <c r="E40" s="1232"/>
      <c r="F40" s="1232"/>
      <c r="G40" s="1232"/>
      <c r="H40" s="1232"/>
      <c r="I40" s="1232"/>
      <c r="J40" s="1232"/>
      <c r="K40" s="1232"/>
      <c r="L40" s="1232"/>
      <c r="M40" s="1232"/>
      <c r="N40" s="1232"/>
      <c r="O40" s="1232"/>
      <c r="P40" s="1232"/>
      <c r="Q40" s="1232"/>
      <c r="R40" s="1232"/>
      <c r="S40" s="1232"/>
      <c r="T40" s="1232"/>
      <c r="U40" s="1232"/>
      <c r="V40" s="1232"/>
      <c r="W40" s="1232"/>
      <c r="X40" s="1232"/>
      <c r="Y40" s="1232"/>
      <c r="Z40" s="1232"/>
      <c r="AA40" s="1232"/>
      <c r="AB40" s="1232"/>
      <c r="AC40" s="1232"/>
      <c r="AD40" s="1232"/>
      <c r="AE40" s="1232"/>
      <c r="AF40" s="1232"/>
      <c r="AG40" s="1232"/>
      <c r="AH40" s="1232"/>
      <c r="AI40" s="1232"/>
      <c r="AJ40" s="1232"/>
      <c r="AK40" s="1232"/>
      <c r="AL40" s="451"/>
      <c r="AM40" s="15"/>
      <c r="AN40" s="189"/>
      <c r="AP40" s="472"/>
      <c r="AQ40" s="471"/>
      <c r="AR40" s="471"/>
      <c r="AS40" s="472"/>
    </row>
    <row r="41" spans="1:45" x14ac:dyDescent="0.2">
      <c r="A41" s="140">
        <f t="shared" si="0"/>
        <v>37</v>
      </c>
      <c r="B41" s="167"/>
      <c r="C41" s="416"/>
      <c r="D41" s="1232"/>
      <c r="E41" s="1232"/>
      <c r="F41" s="1232"/>
      <c r="G41" s="1232"/>
      <c r="H41" s="1232"/>
      <c r="I41" s="1232"/>
      <c r="J41" s="1232"/>
      <c r="K41" s="1232"/>
      <c r="L41" s="1232"/>
      <c r="M41" s="1232"/>
      <c r="N41" s="1232"/>
      <c r="O41" s="1232"/>
      <c r="P41" s="1232"/>
      <c r="Q41" s="1232"/>
      <c r="R41" s="1232"/>
      <c r="S41" s="1232"/>
      <c r="T41" s="1232"/>
      <c r="U41" s="1232"/>
      <c r="V41" s="1232"/>
      <c r="W41" s="1232"/>
      <c r="X41" s="1232"/>
      <c r="Y41" s="1232"/>
      <c r="Z41" s="1232"/>
      <c r="AA41" s="1232"/>
      <c r="AB41" s="1232"/>
      <c r="AC41" s="1232"/>
      <c r="AD41" s="1232"/>
      <c r="AE41" s="1232"/>
      <c r="AF41" s="1232"/>
      <c r="AG41" s="1232"/>
      <c r="AH41" s="1232"/>
      <c r="AI41" s="1232"/>
      <c r="AJ41" s="1232"/>
      <c r="AK41" s="1232"/>
      <c r="AL41" s="451"/>
      <c r="AM41" s="103"/>
      <c r="AN41" s="189"/>
      <c r="AP41" s="472"/>
      <c r="AQ41" s="471"/>
      <c r="AR41" s="472"/>
      <c r="AS41" s="472"/>
    </row>
    <row r="42" spans="1:45" x14ac:dyDescent="0.2">
      <c r="A42" s="140">
        <f t="shared" si="0"/>
        <v>38</v>
      </c>
      <c r="B42" s="167"/>
      <c r="C42" s="446"/>
      <c r="D42" s="1232"/>
      <c r="E42" s="1232"/>
      <c r="F42" s="1232"/>
      <c r="G42" s="1232"/>
      <c r="H42" s="1232"/>
      <c r="I42" s="1232"/>
      <c r="J42" s="1232"/>
      <c r="K42" s="1232"/>
      <c r="L42" s="1232"/>
      <c r="M42" s="1232"/>
      <c r="N42" s="1232"/>
      <c r="O42" s="1232"/>
      <c r="P42" s="1232"/>
      <c r="Q42" s="1232"/>
      <c r="R42" s="1232"/>
      <c r="S42" s="1232"/>
      <c r="T42" s="1232"/>
      <c r="U42" s="1232"/>
      <c r="V42" s="1232"/>
      <c r="W42" s="1232"/>
      <c r="X42" s="1232"/>
      <c r="Y42" s="1232"/>
      <c r="Z42" s="1232"/>
      <c r="AA42" s="1232"/>
      <c r="AB42" s="1232"/>
      <c r="AC42" s="1232"/>
      <c r="AD42" s="1232"/>
      <c r="AE42" s="1232"/>
      <c r="AF42" s="1232"/>
      <c r="AG42" s="1232"/>
      <c r="AH42" s="1232"/>
      <c r="AI42" s="1232"/>
      <c r="AJ42" s="1232"/>
      <c r="AK42" s="1232"/>
      <c r="AL42" s="451"/>
      <c r="AM42" s="103"/>
      <c r="AN42" s="189"/>
      <c r="AP42" s="472"/>
      <c r="AQ42" s="471"/>
      <c r="AR42" s="472"/>
      <c r="AS42" s="472"/>
    </row>
    <row r="43" spans="1:45" x14ac:dyDescent="0.2">
      <c r="A43" s="140">
        <f t="shared" si="0"/>
        <v>39</v>
      </c>
      <c r="B43" s="167"/>
      <c r="C43" s="446"/>
      <c r="D43" s="1232"/>
      <c r="E43" s="1232"/>
      <c r="F43" s="1232"/>
      <c r="G43" s="1232"/>
      <c r="H43" s="1232"/>
      <c r="I43" s="1232"/>
      <c r="J43" s="1232"/>
      <c r="K43" s="1232"/>
      <c r="L43" s="1232"/>
      <c r="M43" s="1232"/>
      <c r="N43" s="1232"/>
      <c r="O43" s="1232"/>
      <c r="P43" s="1232"/>
      <c r="Q43" s="1232"/>
      <c r="R43" s="1232"/>
      <c r="S43" s="1232"/>
      <c r="T43" s="1232"/>
      <c r="U43" s="1232"/>
      <c r="V43" s="1232"/>
      <c r="W43" s="1232"/>
      <c r="X43" s="1232"/>
      <c r="Y43" s="1232"/>
      <c r="Z43" s="1232"/>
      <c r="AA43" s="1232"/>
      <c r="AB43" s="1232"/>
      <c r="AC43" s="1232"/>
      <c r="AD43" s="1232"/>
      <c r="AE43" s="1232"/>
      <c r="AF43" s="1232"/>
      <c r="AG43" s="1232"/>
      <c r="AH43" s="1232"/>
      <c r="AI43" s="1232"/>
      <c r="AJ43" s="1232"/>
      <c r="AK43" s="1232"/>
      <c r="AL43" s="451"/>
      <c r="AM43" s="431"/>
      <c r="AN43" s="189"/>
      <c r="AP43" s="466"/>
      <c r="AQ43" s="471"/>
      <c r="AR43" s="472"/>
      <c r="AS43" s="472"/>
    </row>
    <row r="44" spans="1:45" x14ac:dyDescent="0.2">
      <c r="A44" s="140">
        <f t="shared" si="0"/>
        <v>40</v>
      </c>
      <c r="B44" s="167"/>
      <c r="C44" s="446"/>
      <c r="D44" s="1232"/>
      <c r="E44" s="1232"/>
      <c r="F44" s="1232"/>
      <c r="G44" s="1232"/>
      <c r="H44" s="1232"/>
      <c r="I44" s="1232"/>
      <c r="J44" s="1232"/>
      <c r="K44" s="1232"/>
      <c r="L44" s="1232"/>
      <c r="M44" s="1232"/>
      <c r="N44" s="1232"/>
      <c r="O44" s="1232"/>
      <c r="P44" s="1232"/>
      <c r="Q44" s="1232"/>
      <c r="R44" s="1232"/>
      <c r="S44" s="1232"/>
      <c r="T44" s="1232"/>
      <c r="U44" s="1232"/>
      <c r="V44" s="1232"/>
      <c r="W44" s="1232"/>
      <c r="X44" s="1232"/>
      <c r="Y44" s="1232"/>
      <c r="Z44" s="1232"/>
      <c r="AA44" s="1232"/>
      <c r="AB44" s="1232"/>
      <c r="AC44" s="1232"/>
      <c r="AD44" s="1232"/>
      <c r="AE44" s="1232"/>
      <c r="AF44" s="1232"/>
      <c r="AG44" s="1232"/>
      <c r="AH44" s="1232"/>
      <c r="AI44" s="1232"/>
      <c r="AJ44" s="1232"/>
      <c r="AK44" s="1232"/>
      <c r="AL44" s="451"/>
      <c r="AM44" s="431"/>
      <c r="AN44" s="189"/>
    </row>
    <row r="45" spans="1:45" x14ac:dyDescent="0.2">
      <c r="A45" s="140">
        <f t="shared" si="0"/>
        <v>41</v>
      </c>
      <c r="B45" s="167"/>
      <c r="C45" s="416"/>
      <c r="D45" s="1232"/>
      <c r="E45" s="1232"/>
      <c r="F45" s="1232"/>
      <c r="G45" s="1232"/>
      <c r="H45" s="1232"/>
      <c r="I45" s="1232"/>
      <c r="J45" s="1232"/>
      <c r="K45" s="1232"/>
      <c r="L45" s="1232"/>
      <c r="M45" s="1232"/>
      <c r="N45" s="1232"/>
      <c r="O45" s="1232"/>
      <c r="P45" s="1232"/>
      <c r="Q45" s="1232"/>
      <c r="R45" s="1232"/>
      <c r="S45" s="1232"/>
      <c r="T45" s="1232"/>
      <c r="U45" s="1232"/>
      <c r="V45" s="1232"/>
      <c r="W45" s="1232"/>
      <c r="X45" s="1232"/>
      <c r="Y45" s="1232"/>
      <c r="Z45" s="1232"/>
      <c r="AA45" s="1232"/>
      <c r="AB45" s="1232"/>
      <c r="AC45" s="1232"/>
      <c r="AD45" s="1232"/>
      <c r="AE45" s="1232"/>
      <c r="AF45" s="1232"/>
      <c r="AG45" s="1232"/>
      <c r="AH45" s="1232"/>
      <c r="AI45" s="1232"/>
      <c r="AJ45" s="1232"/>
      <c r="AK45" s="1232"/>
      <c r="AL45" s="451"/>
      <c r="AM45" s="431"/>
      <c r="AN45" s="189"/>
      <c r="AP45" s="472"/>
      <c r="AQ45" s="471"/>
      <c r="AR45" s="475"/>
      <c r="AS45" s="460"/>
    </row>
    <row r="46" spans="1:45" x14ac:dyDescent="0.2">
      <c r="A46" s="140">
        <f t="shared" si="0"/>
        <v>42</v>
      </c>
      <c r="B46" s="167"/>
      <c r="C46" s="524"/>
      <c r="D46" s="1232"/>
      <c r="E46" s="1232"/>
      <c r="F46" s="1232"/>
      <c r="G46" s="1232"/>
      <c r="H46" s="1232"/>
      <c r="I46" s="1232"/>
      <c r="J46" s="1232"/>
      <c r="K46" s="1232"/>
      <c r="L46" s="1232"/>
      <c r="M46" s="1232"/>
      <c r="N46" s="1232"/>
      <c r="O46" s="1232"/>
      <c r="P46" s="1232"/>
      <c r="Q46" s="1232"/>
      <c r="R46" s="1232"/>
      <c r="S46" s="1232"/>
      <c r="T46" s="1232"/>
      <c r="U46" s="1232"/>
      <c r="V46" s="1232"/>
      <c r="W46" s="1232"/>
      <c r="X46" s="1232"/>
      <c r="Y46" s="1232"/>
      <c r="Z46" s="1232"/>
      <c r="AA46" s="1232"/>
      <c r="AB46" s="1232"/>
      <c r="AC46" s="1232"/>
      <c r="AD46" s="1232"/>
      <c r="AE46" s="1232"/>
      <c r="AF46" s="1232"/>
      <c r="AG46" s="1232"/>
      <c r="AH46" s="1232"/>
      <c r="AI46" s="1232"/>
      <c r="AJ46" s="1232"/>
      <c r="AK46" s="1232"/>
      <c r="AL46" s="451"/>
      <c r="AM46" s="431"/>
      <c r="AN46" s="189"/>
      <c r="AP46" s="489"/>
      <c r="AQ46" s="472"/>
      <c r="AR46" s="475"/>
      <c r="AS46" s="460"/>
    </row>
    <row r="47" spans="1:45" s="23" customFormat="1" ht="13.35" customHeight="1" x14ac:dyDescent="0.2">
      <c r="A47" s="140">
        <f t="shared" si="0"/>
        <v>43</v>
      </c>
      <c r="B47" s="167"/>
      <c r="C47" s="446"/>
      <c r="D47" s="1232"/>
      <c r="E47" s="1232"/>
      <c r="F47" s="1232"/>
      <c r="G47" s="1232"/>
      <c r="H47" s="1232"/>
      <c r="I47" s="1232"/>
      <c r="J47" s="1232"/>
      <c r="K47" s="1232"/>
      <c r="L47" s="1232"/>
      <c r="M47" s="1232"/>
      <c r="N47" s="1232"/>
      <c r="O47" s="1232"/>
      <c r="P47" s="1232"/>
      <c r="Q47" s="1232"/>
      <c r="R47" s="1232"/>
      <c r="S47" s="1232"/>
      <c r="T47" s="1232"/>
      <c r="U47" s="1232"/>
      <c r="V47" s="1232"/>
      <c r="W47" s="1232"/>
      <c r="X47" s="1232"/>
      <c r="Y47" s="1232"/>
      <c r="Z47" s="1232"/>
      <c r="AA47" s="1232"/>
      <c r="AB47" s="1232"/>
      <c r="AC47" s="1232"/>
      <c r="AD47" s="1232"/>
      <c r="AE47" s="1232"/>
      <c r="AF47" s="1232"/>
      <c r="AG47" s="1232"/>
      <c r="AH47" s="1232"/>
      <c r="AI47" s="1232"/>
      <c r="AJ47" s="1232"/>
      <c r="AK47" s="1232"/>
      <c r="AL47" s="451"/>
      <c r="AM47" s="432"/>
      <c r="AN47" s="206"/>
      <c r="AP47" s="483"/>
      <c r="AQ47" s="471"/>
      <c r="AR47" s="472"/>
      <c r="AS47" s="460"/>
    </row>
    <row r="48" spans="1:45" x14ac:dyDescent="0.2">
      <c r="A48" s="140">
        <f t="shared" si="0"/>
        <v>44</v>
      </c>
      <c r="B48" s="167"/>
      <c r="C48" s="446"/>
      <c r="D48" s="1232"/>
      <c r="E48" s="1232"/>
      <c r="F48" s="1232"/>
      <c r="G48" s="1232"/>
      <c r="H48" s="1232"/>
      <c r="I48" s="1232"/>
      <c r="J48" s="1232"/>
      <c r="K48" s="1232"/>
      <c r="L48" s="1232"/>
      <c r="M48" s="1232"/>
      <c r="N48" s="1232"/>
      <c r="O48" s="1232"/>
      <c r="P48" s="1232"/>
      <c r="Q48" s="1232"/>
      <c r="R48" s="1232"/>
      <c r="S48" s="1232"/>
      <c r="T48" s="1232"/>
      <c r="U48" s="1232"/>
      <c r="V48" s="1232"/>
      <c r="W48" s="1232"/>
      <c r="X48" s="1232"/>
      <c r="Y48" s="1232"/>
      <c r="Z48" s="1232"/>
      <c r="AA48" s="1232"/>
      <c r="AB48" s="1232"/>
      <c r="AC48" s="1232"/>
      <c r="AD48" s="1232"/>
      <c r="AE48" s="1232"/>
      <c r="AF48" s="1232"/>
      <c r="AG48" s="1232"/>
      <c r="AH48" s="1232"/>
      <c r="AI48" s="1232"/>
      <c r="AJ48" s="1232"/>
      <c r="AK48" s="1232"/>
      <c r="AL48" s="451"/>
      <c r="AM48" s="431"/>
      <c r="AN48" s="189"/>
      <c r="AP48" s="483"/>
      <c r="AQ48" s="471"/>
      <c r="AR48" s="472"/>
      <c r="AS48" s="460"/>
    </row>
    <row r="49" spans="1:55" x14ac:dyDescent="0.2">
      <c r="A49" s="140">
        <f t="shared" si="0"/>
        <v>45</v>
      </c>
      <c r="B49" s="167"/>
      <c r="C49" s="416"/>
      <c r="D49" s="1233"/>
      <c r="E49" s="1232"/>
      <c r="F49" s="1232"/>
      <c r="G49" s="1232"/>
      <c r="H49" s="1232"/>
      <c r="I49" s="1232"/>
      <c r="J49" s="1232"/>
      <c r="K49" s="1232"/>
      <c r="L49" s="1232"/>
      <c r="M49" s="1232"/>
      <c r="N49" s="1232"/>
      <c r="O49" s="1232"/>
      <c r="P49" s="1232"/>
      <c r="Q49" s="1232"/>
      <c r="R49" s="1232"/>
      <c r="S49" s="1232"/>
      <c r="T49" s="1232"/>
      <c r="U49" s="1232"/>
      <c r="V49" s="1232"/>
      <c r="W49" s="1232"/>
      <c r="X49" s="1232"/>
      <c r="Y49" s="1232"/>
      <c r="Z49" s="1232"/>
      <c r="AA49" s="1232"/>
      <c r="AB49" s="1232"/>
      <c r="AC49" s="1232"/>
      <c r="AD49" s="1232"/>
      <c r="AE49" s="1232"/>
      <c r="AF49" s="1232"/>
      <c r="AG49" s="1232"/>
      <c r="AH49" s="1232"/>
      <c r="AI49" s="1232"/>
      <c r="AJ49" s="1232"/>
      <c r="AK49" s="1232"/>
      <c r="AL49" s="451"/>
      <c r="AM49" s="431"/>
      <c r="AN49" s="189"/>
      <c r="AP49" s="483"/>
      <c r="AQ49" s="471"/>
      <c r="AR49" s="472"/>
      <c r="AS49" s="460"/>
    </row>
    <row r="50" spans="1:55" x14ac:dyDescent="0.2">
      <c r="A50" s="140">
        <f t="shared" si="0"/>
        <v>46</v>
      </c>
      <c r="B50" s="167"/>
      <c r="C50" s="389"/>
      <c r="D50" s="1232"/>
      <c r="E50" s="1232"/>
      <c r="F50" s="1232"/>
      <c r="G50" s="1232"/>
      <c r="H50" s="1232"/>
      <c r="I50" s="1232"/>
      <c r="J50" s="1232"/>
      <c r="K50" s="1232"/>
      <c r="L50" s="1232"/>
      <c r="M50" s="1232"/>
      <c r="N50" s="1232"/>
      <c r="O50" s="1232"/>
      <c r="P50" s="1232"/>
      <c r="Q50" s="1232"/>
      <c r="R50" s="1232"/>
      <c r="S50" s="1232"/>
      <c r="T50" s="1232"/>
      <c r="U50" s="1232"/>
      <c r="V50" s="1232"/>
      <c r="W50" s="1232"/>
      <c r="X50" s="1232"/>
      <c r="Y50" s="1232"/>
      <c r="Z50" s="1232"/>
      <c r="AA50" s="1232"/>
      <c r="AB50" s="1232"/>
      <c r="AC50" s="1232"/>
      <c r="AD50" s="1232"/>
      <c r="AE50" s="1232"/>
      <c r="AF50" s="1232"/>
      <c r="AG50" s="1232"/>
      <c r="AH50" s="1232"/>
      <c r="AI50" s="1232"/>
      <c r="AJ50" s="1232"/>
      <c r="AK50" s="1232"/>
      <c r="AL50" s="451"/>
      <c r="AM50" s="431"/>
      <c r="AN50" s="189"/>
      <c r="AP50" s="483"/>
      <c r="AQ50" s="471"/>
      <c r="AR50" s="475"/>
      <c r="AS50" s="460"/>
    </row>
    <row r="51" spans="1:55" x14ac:dyDescent="0.2">
      <c r="A51" s="140">
        <f t="shared" si="0"/>
        <v>47</v>
      </c>
      <c r="B51" s="167"/>
      <c r="C51" s="446"/>
      <c r="D51" s="1232"/>
      <c r="E51" s="1232"/>
      <c r="F51" s="1232"/>
      <c r="G51" s="1232"/>
      <c r="H51" s="1232"/>
      <c r="I51" s="1232"/>
      <c r="J51" s="1232"/>
      <c r="K51" s="1232"/>
      <c r="L51" s="1232"/>
      <c r="M51" s="1232"/>
      <c r="N51" s="1232"/>
      <c r="O51" s="1232"/>
      <c r="P51" s="1232"/>
      <c r="Q51" s="1232"/>
      <c r="R51" s="1232"/>
      <c r="S51" s="1232"/>
      <c r="T51" s="1232"/>
      <c r="U51" s="1232"/>
      <c r="V51" s="1232"/>
      <c r="W51" s="1232"/>
      <c r="X51" s="1232"/>
      <c r="Y51" s="1232"/>
      <c r="Z51" s="1232"/>
      <c r="AA51" s="1232"/>
      <c r="AB51" s="1232"/>
      <c r="AC51" s="1232"/>
      <c r="AD51" s="1232"/>
      <c r="AE51" s="1232"/>
      <c r="AF51" s="1232"/>
      <c r="AG51" s="1232"/>
      <c r="AH51" s="1232"/>
      <c r="AI51" s="1232"/>
      <c r="AJ51" s="1232"/>
      <c r="AK51" s="1232"/>
      <c r="AL51" s="451"/>
      <c r="AM51" s="431"/>
      <c r="AN51" s="189"/>
      <c r="AP51" s="457"/>
      <c r="AQ51" s="458"/>
      <c r="AR51" s="460"/>
      <c r="AS51" s="460"/>
    </row>
    <row r="52" spans="1:55" x14ac:dyDescent="0.2">
      <c r="A52" s="140">
        <f t="shared" si="0"/>
        <v>48</v>
      </c>
      <c r="B52" s="167"/>
      <c r="C52" s="521"/>
      <c r="D52" s="1232"/>
      <c r="E52" s="1232"/>
      <c r="F52" s="1232"/>
      <c r="G52" s="1232"/>
      <c r="H52" s="1232"/>
      <c r="I52" s="1232"/>
      <c r="J52" s="1232"/>
      <c r="K52" s="1232"/>
      <c r="L52" s="1232"/>
      <c r="M52" s="1232"/>
      <c r="N52" s="1232"/>
      <c r="O52" s="1232"/>
      <c r="P52" s="1232"/>
      <c r="Q52" s="1232"/>
      <c r="R52" s="1232"/>
      <c r="S52" s="1232"/>
      <c r="T52" s="1232"/>
      <c r="U52" s="1232"/>
      <c r="V52" s="1232"/>
      <c r="W52" s="1232"/>
      <c r="X52" s="1232"/>
      <c r="Y52" s="1232"/>
      <c r="Z52" s="1232"/>
      <c r="AA52" s="1232"/>
      <c r="AB52" s="1232"/>
      <c r="AC52" s="1232"/>
      <c r="AD52" s="1232"/>
      <c r="AE52" s="1232"/>
      <c r="AF52" s="1232"/>
      <c r="AG52" s="1232"/>
      <c r="AH52" s="1232"/>
      <c r="AI52" s="1232"/>
      <c r="AJ52" s="1232"/>
      <c r="AK52" s="1232"/>
      <c r="AL52" s="451"/>
      <c r="AM52" s="431"/>
      <c r="AN52" s="189"/>
      <c r="AP52" s="458"/>
      <c r="AQ52" s="458"/>
      <c r="AR52" s="460"/>
      <c r="AS52" s="460"/>
    </row>
    <row r="53" spans="1:55" x14ac:dyDescent="0.2">
      <c r="A53" s="140">
        <f t="shared" si="0"/>
        <v>49</v>
      </c>
      <c r="B53" s="167"/>
      <c r="C53" s="524"/>
      <c r="D53" s="1232"/>
      <c r="E53" s="1232"/>
      <c r="F53" s="1232"/>
      <c r="G53" s="1232"/>
      <c r="H53" s="1232"/>
      <c r="I53" s="1232"/>
      <c r="J53" s="1232"/>
      <c r="K53" s="1232"/>
      <c r="L53" s="1232"/>
      <c r="M53" s="1232"/>
      <c r="N53" s="1232"/>
      <c r="O53" s="1232"/>
      <c r="P53" s="1232"/>
      <c r="Q53" s="1232"/>
      <c r="R53" s="1232"/>
      <c r="S53" s="1232"/>
      <c r="T53" s="1232"/>
      <c r="U53" s="1232"/>
      <c r="V53" s="1232"/>
      <c r="W53" s="1232"/>
      <c r="X53" s="1232"/>
      <c r="Y53" s="1232"/>
      <c r="Z53" s="1232"/>
      <c r="AA53" s="1232"/>
      <c r="AB53" s="1232"/>
      <c r="AC53" s="1232"/>
      <c r="AD53" s="1232"/>
      <c r="AE53" s="1232"/>
      <c r="AF53" s="1232"/>
      <c r="AG53" s="1232"/>
      <c r="AH53" s="1232"/>
      <c r="AI53" s="1232"/>
      <c r="AJ53" s="1232"/>
      <c r="AK53" s="1232"/>
      <c r="AL53" s="451"/>
      <c r="AM53" s="431"/>
      <c r="AN53" s="189"/>
      <c r="AP53" s="6"/>
      <c r="AQ53" s="454"/>
      <c r="AR53" s="455"/>
      <c r="AS53" s="455"/>
      <c r="AT53" s="21"/>
      <c r="AU53" s="21"/>
      <c r="AV53" s="21"/>
      <c r="AW53" s="21"/>
      <c r="AX53" s="21"/>
      <c r="AY53" s="36"/>
      <c r="AZ53" s="36"/>
      <c r="BA53" s="21"/>
      <c r="BB53" s="21"/>
      <c r="BC53" s="36"/>
    </row>
    <row r="54" spans="1:55" x14ac:dyDescent="0.2">
      <c r="A54" s="140">
        <f t="shared" si="0"/>
        <v>50</v>
      </c>
      <c r="B54" s="167"/>
      <c r="C54" s="384"/>
      <c r="D54" s="1232"/>
      <c r="E54" s="1232"/>
      <c r="F54" s="1232"/>
      <c r="G54" s="1232"/>
      <c r="H54" s="1232"/>
      <c r="I54" s="1232"/>
      <c r="J54" s="1232"/>
      <c r="K54" s="1232"/>
      <c r="L54" s="1232"/>
      <c r="M54" s="1232"/>
      <c r="N54" s="1232"/>
      <c r="O54" s="1232"/>
      <c r="P54" s="1232"/>
      <c r="Q54" s="1232"/>
      <c r="R54" s="1232"/>
      <c r="S54" s="1232"/>
      <c r="T54" s="1232"/>
      <c r="U54" s="1232"/>
      <c r="V54" s="1232"/>
      <c r="W54" s="1232"/>
      <c r="X54" s="1232"/>
      <c r="Y54" s="1232"/>
      <c r="Z54" s="1232"/>
      <c r="AA54" s="1232"/>
      <c r="AB54" s="1232"/>
      <c r="AC54" s="1232"/>
      <c r="AD54" s="1232"/>
      <c r="AE54" s="1232"/>
      <c r="AF54" s="1232"/>
      <c r="AG54" s="1232"/>
      <c r="AH54" s="1232"/>
      <c r="AI54" s="1232"/>
      <c r="AJ54" s="1232"/>
      <c r="AK54" s="1232"/>
      <c r="AL54" s="451"/>
      <c r="AM54" s="431"/>
      <c r="AN54" s="189"/>
      <c r="AP54" s="466"/>
      <c r="AQ54" s="454"/>
      <c r="AR54" s="455"/>
      <c r="AS54" s="455"/>
      <c r="AT54" s="21"/>
      <c r="AU54" s="21"/>
      <c r="AV54" s="21"/>
      <c r="AW54" s="21"/>
      <c r="AX54" s="21"/>
      <c r="AY54" s="36"/>
      <c r="AZ54" s="36"/>
      <c r="BA54" s="21"/>
      <c r="BB54" s="21"/>
      <c r="BC54" s="36"/>
    </row>
    <row r="55" spans="1:55" ht="12.75" customHeight="1" x14ac:dyDescent="0.2">
      <c r="A55" s="140">
        <f t="shared" si="0"/>
        <v>51</v>
      </c>
      <c r="B55" s="171"/>
      <c r="C55" s="384"/>
      <c r="D55" s="1232"/>
      <c r="E55" s="1232"/>
      <c r="F55" s="1232"/>
      <c r="G55" s="1232"/>
      <c r="H55" s="1232"/>
      <c r="I55" s="1232"/>
      <c r="J55" s="1232"/>
      <c r="K55" s="1232"/>
      <c r="L55" s="1232"/>
      <c r="M55" s="1232"/>
      <c r="N55" s="1232"/>
      <c r="O55" s="1232"/>
      <c r="P55" s="1232"/>
      <c r="Q55" s="1232"/>
      <c r="R55" s="1232"/>
      <c r="S55" s="1232"/>
      <c r="T55" s="1232"/>
      <c r="U55" s="1232"/>
      <c r="V55" s="1232"/>
      <c r="W55" s="1232"/>
      <c r="X55" s="1232"/>
      <c r="Y55" s="1232"/>
      <c r="Z55" s="1232"/>
      <c r="AA55" s="1232"/>
      <c r="AB55" s="1232"/>
      <c r="AC55" s="1232"/>
      <c r="AD55" s="1232"/>
      <c r="AE55" s="1232"/>
      <c r="AF55" s="1232"/>
      <c r="AG55" s="1232"/>
      <c r="AH55" s="1232"/>
      <c r="AI55" s="1232"/>
      <c r="AJ55" s="1232"/>
      <c r="AK55" s="1232"/>
      <c r="AL55" s="451"/>
      <c r="AM55" s="431"/>
      <c r="AN55" s="207"/>
      <c r="AP55" s="466"/>
      <c r="AQ55" s="491"/>
      <c r="AR55" s="455"/>
      <c r="AS55" s="455"/>
      <c r="AT55" s="480"/>
      <c r="AU55" s="480"/>
      <c r="AV55" s="480"/>
      <c r="AW55" s="480"/>
      <c r="AX55" s="480"/>
      <c r="AY55" s="480"/>
      <c r="AZ55" s="480"/>
      <c r="BA55" s="480"/>
      <c r="BB55" s="480"/>
      <c r="BC55" s="480"/>
    </row>
    <row r="56" spans="1:55" s="23" customFormat="1" ht="13.35" customHeight="1" x14ac:dyDescent="0.2">
      <c r="A56" s="140">
        <f t="shared" si="0"/>
        <v>52</v>
      </c>
      <c r="B56" s="167"/>
      <c r="C56" s="503"/>
      <c r="D56" s="1232"/>
      <c r="E56" s="1232"/>
      <c r="F56" s="1232"/>
      <c r="G56" s="1232"/>
      <c r="H56" s="1232"/>
      <c r="I56" s="1232"/>
      <c r="J56" s="1232"/>
      <c r="K56" s="1232"/>
      <c r="L56" s="1232"/>
      <c r="M56" s="1232"/>
      <c r="N56" s="1232"/>
      <c r="O56" s="1232"/>
      <c r="P56" s="1232"/>
      <c r="Q56" s="1232"/>
      <c r="R56" s="1232"/>
      <c r="S56" s="1232"/>
      <c r="T56" s="1232"/>
      <c r="U56" s="1232"/>
      <c r="V56" s="1232"/>
      <c r="W56" s="1232"/>
      <c r="X56" s="1232"/>
      <c r="Y56" s="1232"/>
      <c r="Z56" s="1232"/>
      <c r="AA56" s="1232"/>
      <c r="AB56" s="1232"/>
      <c r="AC56" s="1232"/>
      <c r="AD56" s="1232"/>
      <c r="AE56" s="1232"/>
      <c r="AF56" s="1232"/>
      <c r="AG56" s="1232"/>
      <c r="AH56" s="1232"/>
      <c r="AI56" s="1232"/>
      <c r="AJ56" s="1232"/>
      <c r="AK56" s="1232"/>
      <c r="AL56" s="451"/>
      <c r="AM56" s="15"/>
      <c r="AN56" s="206"/>
      <c r="AP56" s="466"/>
      <c r="AQ56" s="492"/>
      <c r="AR56" s="455"/>
      <c r="AS56" s="455"/>
      <c r="AT56" s="481"/>
      <c r="AU56" s="481"/>
      <c r="AV56" s="481"/>
      <c r="AW56" s="481"/>
      <c r="AX56" s="481"/>
      <c r="AY56" s="481"/>
      <c r="AZ56" s="481"/>
      <c r="BA56" s="481"/>
      <c r="BB56" s="481"/>
      <c r="BC56" s="481"/>
    </row>
    <row r="57" spans="1:55" x14ac:dyDescent="0.2">
      <c r="A57" s="140">
        <f t="shared" si="0"/>
        <v>53</v>
      </c>
      <c r="B57" s="167"/>
      <c r="C57" s="518"/>
      <c r="D57" s="1232"/>
      <c r="E57" s="1232"/>
      <c r="F57" s="1232"/>
      <c r="G57" s="1232"/>
      <c r="H57" s="1232"/>
      <c r="I57" s="1232"/>
      <c r="J57" s="1232"/>
      <c r="K57" s="1232"/>
      <c r="L57" s="1232"/>
      <c r="M57" s="1232"/>
      <c r="N57" s="1232"/>
      <c r="O57" s="1232"/>
      <c r="P57" s="1232"/>
      <c r="Q57" s="1232"/>
      <c r="R57" s="1232"/>
      <c r="S57" s="1232"/>
      <c r="T57" s="1232"/>
      <c r="U57" s="1232"/>
      <c r="V57" s="1232"/>
      <c r="W57" s="1232"/>
      <c r="X57" s="1232"/>
      <c r="Y57" s="1232"/>
      <c r="Z57" s="1232"/>
      <c r="AA57" s="1232"/>
      <c r="AB57" s="1232"/>
      <c r="AC57" s="1232"/>
      <c r="AD57" s="1232"/>
      <c r="AE57" s="1232"/>
      <c r="AF57" s="1232"/>
      <c r="AG57" s="1232"/>
      <c r="AH57" s="1232"/>
      <c r="AI57" s="1232"/>
      <c r="AJ57" s="1232"/>
      <c r="AK57" s="1232"/>
      <c r="AL57" s="451"/>
      <c r="AM57" s="15"/>
      <c r="AN57" s="189"/>
      <c r="AP57" s="466"/>
      <c r="AQ57" s="492"/>
      <c r="AR57" s="455"/>
      <c r="AS57" s="455"/>
      <c r="AT57" s="481"/>
      <c r="AU57" s="481"/>
      <c r="AV57" s="481"/>
      <c r="AW57" s="481"/>
      <c r="AX57" s="481"/>
      <c r="AY57" s="481"/>
      <c r="AZ57" s="481"/>
      <c r="BA57" s="481"/>
      <c r="BB57" s="481"/>
      <c r="BC57" s="481"/>
    </row>
    <row r="58" spans="1:55" x14ac:dyDescent="0.2">
      <c r="A58" s="140">
        <f t="shared" si="0"/>
        <v>54</v>
      </c>
      <c r="B58" s="167"/>
      <c r="C58" s="433"/>
      <c r="D58" s="1232"/>
      <c r="E58" s="1232"/>
      <c r="F58" s="1232"/>
      <c r="G58" s="1232"/>
      <c r="H58" s="1232"/>
      <c r="I58" s="1232"/>
      <c r="J58" s="1232"/>
      <c r="K58" s="1232"/>
      <c r="L58" s="1232"/>
      <c r="M58" s="1232"/>
      <c r="N58" s="1232"/>
      <c r="O58" s="1232"/>
      <c r="P58" s="1232"/>
      <c r="Q58" s="1232"/>
      <c r="R58" s="1232"/>
      <c r="S58" s="1232"/>
      <c r="T58" s="1232"/>
      <c r="U58" s="1232"/>
      <c r="V58" s="1232"/>
      <c r="W58" s="1232"/>
      <c r="X58" s="1232"/>
      <c r="Y58" s="1232"/>
      <c r="Z58" s="1232"/>
      <c r="AA58" s="1232"/>
      <c r="AB58" s="1232"/>
      <c r="AC58" s="1232"/>
      <c r="AD58" s="1232"/>
      <c r="AE58" s="1232"/>
      <c r="AF58" s="1232"/>
      <c r="AG58" s="1232"/>
      <c r="AH58" s="1232"/>
      <c r="AI58" s="1232"/>
      <c r="AJ58" s="1232"/>
      <c r="AK58" s="1232"/>
      <c r="AL58" s="451"/>
      <c r="AM58" s="15"/>
      <c r="AN58" s="189"/>
      <c r="AP58" s="457"/>
      <c r="AQ58" s="458"/>
      <c r="AR58" s="459"/>
      <c r="AS58" s="460"/>
    </row>
    <row r="59" spans="1:55" x14ac:dyDescent="0.2">
      <c r="A59" s="140">
        <f t="shared" si="0"/>
        <v>55</v>
      </c>
      <c r="B59" s="167"/>
      <c r="C59" s="433"/>
      <c r="D59" s="1232"/>
      <c r="E59" s="1232"/>
      <c r="F59" s="1232"/>
      <c r="G59" s="1232"/>
      <c r="H59" s="1232"/>
      <c r="I59" s="1232"/>
      <c r="J59" s="1232"/>
      <c r="K59" s="1232"/>
      <c r="L59" s="1232"/>
      <c r="M59" s="1232"/>
      <c r="N59" s="1232"/>
      <c r="O59" s="1232"/>
      <c r="P59" s="1232"/>
      <c r="Q59" s="1232"/>
      <c r="R59" s="1232"/>
      <c r="S59" s="1232"/>
      <c r="T59" s="1232"/>
      <c r="U59" s="1232"/>
      <c r="V59" s="1232"/>
      <c r="W59" s="1232"/>
      <c r="X59" s="1232"/>
      <c r="Y59" s="1232"/>
      <c r="Z59" s="1232"/>
      <c r="AA59" s="1232"/>
      <c r="AB59" s="1232"/>
      <c r="AC59" s="1232"/>
      <c r="AD59" s="1232"/>
      <c r="AE59" s="1232"/>
      <c r="AF59" s="1232"/>
      <c r="AG59" s="1232"/>
      <c r="AH59" s="1232"/>
      <c r="AI59" s="1232"/>
      <c r="AJ59" s="1232"/>
      <c r="AK59" s="1232"/>
      <c r="AL59" s="451"/>
      <c r="AM59" s="15"/>
      <c r="AN59" s="189"/>
      <c r="AP59" s="457"/>
      <c r="AQ59" s="458"/>
      <c r="AR59" s="459"/>
      <c r="AS59" s="460"/>
    </row>
    <row r="60" spans="1:55" x14ac:dyDescent="0.2">
      <c r="A60" s="140">
        <f t="shared" si="0"/>
        <v>56</v>
      </c>
      <c r="B60" s="167"/>
      <c r="C60" s="436"/>
      <c r="D60" s="1232"/>
      <c r="E60" s="1232"/>
      <c r="F60" s="1232"/>
      <c r="G60" s="1232"/>
      <c r="H60" s="1232"/>
      <c r="I60" s="1232"/>
      <c r="J60" s="1232"/>
      <c r="K60" s="1232"/>
      <c r="L60" s="1232"/>
      <c r="M60" s="1232"/>
      <c r="N60" s="1232"/>
      <c r="O60" s="1232"/>
      <c r="P60" s="1232"/>
      <c r="Q60" s="1232"/>
      <c r="R60" s="1232"/>
      <c r="S60" s="1232"/>
      <c r="T60" s="1232"/>
      <c r="U60" s="1232"/>
      <c r="V60" s="1232"/>
      <c r="W60" s="1232"/>
      <c r="X60" s="1232"/>
      <c r="Y60" s="1232"/>
      <c r="Z60" s="1232"/>
      <c r="AA60" s="1232"/>
      <c r="AB60" s="1232"/>
      <c r="AC60" s="1232"/>
      <c r="AD60" s="1232"/>
      <c r="AE60" s="1232"/>
      <c r="AF60" s="1232"/>
      <c r="AG60" s="1232"/>
      <c r="AH60" s="1232"/>
      <c r="AI60" s="1232"/>
      <c r="AJ60" s="1232"/>
      <c r="AK60" s="1232"/>
      <c r="AL60" s="451"/>
      <c r="AM60" s="15"/>
      <c r="AN60" s="189"/>
      <c r="AP60" s="457"/>
      <c r="AQ60" s="458"/>
      <c r="AR60" s="459"/>
      <c r="AS60" s="460"/>
    </row>
    <row r="61" spans="1:55" x14ac:dyDescent="0.2">
      <c r="A61" s="140">
        <f t="shared" si="0"/>
        <v>57</v>
      </c>
      <c r="B61" s="167"/>
      <c r="C61" s="436"/>
      <c r="D61" s="1232"/>
      <c r="E61" s="1232"/>
      <c r="F61" s="1232"/>
      <c r="G61" s="1232"/>
      <c r="H61" s="1232"/>
      <c r="I61" s="1232"/>
      <c r="J61" s="1232"/>
      <c r="K61" s="1232"/>
      <c r="L61" s="1232"/>
      <c r="M61" s="1232"/>
      <c r="N61" s="1232"/>
      <c r="O61" s="1232"/>
      <c r="P61" s="1232"/>
      <c r="Q61" s="1232"/>
      <c r="R61" s="1232"/>
      <c r="S61" s="1232"/>
      <c r="T61" s="1232"/>
      <c r="U61" s="1232"/>
      <c r="V61" s="1232"/>
      <c r="W61" s="1232"/>
      <c r="X61" s="1232"/>
      <c r="Y61" s="1232"/>
      <c r="Z61" s="1232"/>
      <c r="AA61" s="1232"/>
      <c r="AB61" s="1232"/>
      <c r="AC61" s="1232"/>
      <c r="AD61" s="1232"/>
      <c r="AE61" s="1232"/>
      <c r="AF61" s="1232"/>
      <c r="AG61" s="1232"/>
      <c r="AH61" s="1232"/>
      <c r="AI61" s="1232"/>
      <c r="AJ61" s="1232"/>
      <c r="AK61" s="1232"/>
      <c r="AL61" s="490"/>
      <c r="AM61" s="15"/>
      <c r="AN61" s="189"/>
      <c r="AP61" s="457"/>
      <c r="AQ61" s="458"/>
      <c r="AR61" s="459"/>
      <c r="AS61" s="460"/>
    </row>
    <row r="62" spans="1:55" x14ac:dyDescent="0.2">
      <c r="A62" s="140">
        <f t="shared" si="0"/>
        <v>58</v>
      </c>
      <c r="B62" s="167"/>
      <c r="C62" s="436"/>
      <c r="D62" s="1232"/>
      <c r="E62" s="1232"/>
      <c r="F62" s="1232"/>
      <c r="G62" s="1232"/>
      <c r="H62" s="1232"/>
      <c r="I62" s="1232"/>
      <c r="J62" s="1232"/>
      <c r="K62" s="1232"/>
      <c r="L62" s="1232"/>
      <c r="M62" s="1232"/>
      <c r="N62" s="1232"/>
      <c r="O62" s="1232"/>
      <c r="P62" s="1232"/>
      <c r="Q62" s="1232"/>
      <c r="R62" s="1232"/>
      <c r="S62" s="1232"/>
      <c r="T62" s="1232"/>
      <c r="U62" s="1232"/>
      <c r="V62" s="1232"/>
      <c r="W62" s="1232"/>
      <c r="X62" s="1232"/>
      <c r="Y62" s="1232"/>
      <c r="Z62" s="1232"/>
      <c r="AA62" s="1232"/>
      <c r="AB62" s="1232"/>
      <c r="AC62" s="1232"/>
      <c r="AD62" s="1232"/>
      <c r="AE62" s="1232"/>
      <c r="AF62" s="1232"/>
      <c r="AG62" s="1232"/>
      <c r="AH62" s="1232"/>
      <c r="AI62" s="1232"/>
      <c r="AJ62" s="1232"/>
      <c r="AK62" s="1232"/>
      <c r="AL62" s="490"/>
      <c r="AM62" s="15"/>
      <c r="AN62" s="189"/>
      <c r="AP62" s="457"/>
      <c r="AQ62" s="458"/>
      <c r="AR62" s="459"/>
      <c r="AS62" s="460"/>
    </row>
    <row r="63" spans="1:55" x14ac:dyDescent="0.2">
      <c r="A63" s="140">
        <f t="shared" si="0"/>
        <v>59</v>
      </c>
      <c r="B63" s="167"/>
      <c r="C63" s="436"/>
      <c r="D63" s="1232"/>
      <c r="E63" s="1232"/>
      <c r="F63" s="1232"/>
      <c r="G63" s="1232"/>
      <c r="H63" s="1232"/>
      <c r="I63" s="1232"/>
      <c r="J63" s="1232"/>
      <c r="K63" s="1232"/>
      <c r="L63" s="1232"/>
      <c r="M63" s="1232"/>
      <c r="N63" s="1232"/>
      <c r="O63" s="1232"/>
      <c r="P63" s="1232"/>
      <c r="Q63" s="1232"/>
      <c r="R63" s="1232"/>
      <c r="S63" s="1232"/>
      <c r="T63" s="1232"/>
      <c r="U63" s="1232"/>
      <c r="V63" s="1232"/>
      <c r="W63" s="1232"/>
      <c r="X63" s="1232"/>
      <c r="Y63" s="1232"/>
      <c r="Z63" s="1232"/>
      <c r="AA63" s="1232"/>
      <c r="AB63" s="1232"/>
      <c r="AC63" s="1232"/>
      <c r="AD63" s="1232"/>
      <c r="AE63" s="1232"/>
      <c r="AF63" s="1232"/>
      <c r="AG63" s="1232"/>
      <c r="AH63" s="1232"/>
      <c r="AI63" s="1232"/>
      <c r="AJ63" s="1232"/>
      <c r="AK63" s="1232"/>
      <c r="AL63" s="490"/>
      <c r="AM63" s="15"/>
      <c r="AN63" s="189"/>
      <c r="AP63" s="457"/>
      <c r="AQ63" s="458"/>
      <c r="AR63" s="459"/>
      <c r="AS63" s="460"/>
    </row>
    <row r="64" spans="1:55" x14ac:dyDescent="0.2">
      <c r="A64" s="140">
        <f t="shared" si="0"/>
        <v>60</v>
      </c>
      <c r="B64" s="167"/>
      <c r="C64" s="436"/>
      <c r="D64" s="1232"/>
      <c r="E64" s="1232"/>
      <c r="F64" s="1232"/>
      <c r="G64" s="1232"/>
      <c r="H64" s="1232"/>
      <c r="I64" s="1232"/>
      <c r="J64" s="1232"/>
      <c r="K64" s="1232"/>
      <c r="L64" s="1232"/>
      <c r="M64" s="1232"/>
      <c r="N64" s="1232"/>
      <c r="O64" s="1232"/>
      <c r="P64" s="1232"/>
      <c r="Q64" s="1232"/>
      <c r="R64" s="1232"/>
      <c r="S64" s="1232"/>
      <c r="T64" s="1232"/>
      <c r="U64" s="1232"/>
      <c r="V64" s="1232"/>
      <c r="W64" s="1232"/>
      <c r="X64" s="1232"/>
      <c r="Y64" s="1232"/>
      <c r="Z64" s="1232"/>
      <c r="AA64" s="1232"/>
      <c r="AB64" s="1232"/>
      <c r="AC64" s="1232"/>
      <c r="AD64" s="1232"/>
      <c r="AE64" s="1232"/>
      <c r="AF64" s="1232"/>
      <c r="AG64" s="1232"/>
      <c r="AH64" s="1232"/>
      <c r="AI64" s="1232"/>
      <c r="AJ64" s="1232"/>
      <c r="AK64" s="1232"/>
      <c r="AL64" s="490"/>
      <c r="AM64" s="15"/>
      <c r="AN64" s="188"/>
      <c r="AP64" s="457"/>
      <c r="AQ64" s="458"/>
      <c r="AR64" s="459"/>
      <c r="AS64" s="460"/>
    </row>
    <row r="65" spans="1:45" x14ac:dyDescent="0.2">
      <c r="A65" s="140">
        <f t="shared" si="0"/>
        <v>61</v>
      </c>
      <c r="B65" s="167"/>
      <c r="C65" s="436"/>
      <c r="D65" s="1232"/>
      <c r="E65" s="1232"/>
      <c r="F65" s="1232"/>
      <c r="G65" s="1232"/>
      <c r="H65" s="1232"/>
      <c r="I65" s="1232"/>
      <c r="J65" s="1232"/>
      <c r="K65" s="1232"/>
      <c r="L65" s="1232"/>
      <c r="M65" s="1232"/>
      <c r="N65" s="1232"/>
      <c r="O65" s="1232"/>
      <c r="P65" s="1232"/>
      <c r="Q65" s="1232"/>
      <c r="R65" s="1232"/>
      <c r="S65" s="1232"/>
      <c r="T65" s="1232"/>
      <c r="U65" s="1232"/>
      <c r="V65" s="1232"/>
      <c r="W65" s="1232"/>
      <c r="X65" s="1232"/>
      <c r="Y65" s="1232"/>
      <c r="Z65" s="1232"/>
      <c r="AA65" s="1232"/>
      <c r="AB65" s="1232"/>
      <c r="AC65" s="1232"/>
      <c r="AD65" s="1232"/>
      <c r="AE65" s="1232"/>
      <c r="AF65" s="1232"/>
      <c r="AG65" s="1232"/>
      <c r="AH65" s="1232"/>
      <c r="AI65" s="1232"/>
      <c r="AJ65" s="1232"/>
      <c r="AK65" s="1232"/>
      <c r="AL65" s="490"/>
      <c r="AM65" s="15"/>
      <c r="AN65" s="188"/>
      <c r="AP65" s="457"/>
      <c r="AQ65" s="458"/>
      <c r="AR65" s="459"/>
      <c r="AS65" s="460"/>
    </row>
    <row r="66" spans="1:45" x14ac:dyDescent="0.2">
      <c r="A66" s="140">
        <f t="shared" si="0"/>
        <v>62</v>
      </c>
      <c r="B66" s="167"/>
      <c r="C66" s="436"/>
      <c r="D66" s="1232"/>
      <c r="E66" s="1232"/>
      <c r="F66" s="1232"/>
      <c r="G66" s="1232"/>
      <c r="H66" s="1232"/>
      <c r="I66" s="1232"/>
      <c r="J66" s="1232"/>
      <c r="K66" s="1232"/>
      <c r="L66" s="1232"/>
      <c r="M66" s="1232"/>
      <c r="N66" s="1232"/>
      <c r="O66" s="1232"/>
      <c r="P66" s="1232"/>
      <c r="Q66" s="1232"/>
      <c r="R66" s="1232"/>
      <c r="S66" s="1232"/>
      <c r="T66" s="1232"/>
      <c r="U66" s="1232"/>
      <c r="V66" s="1232"/>
      <c r="W66" s="1232"/>
      <c r="X66" s="1232"/>
      <c r="Y66" s="1232"/>
      <c r="Z66" s="1232"/>
      <c r="AA66" s="1232"/>
      <c r="AB66" s="1232"/>
      <c r="AC66" s="1232"/>
      <c r="AD66" s="1232"/>
      <c r="AE66" s="1232"/>
      <c r="AF66" s="1232"/>
      <c r="AG66" s="1232"/>
      <c r="AH66" s="1232"/>
      <c r="AI66" s="1232"/>
      <c r="AJ66" s="1232"/>
      <c r="AK66" s="1232"/>
      <c r="AL66" s="490"/>
      <c r="AM66" s="15"/>
      <c r="AN66" s="188"/>
      <c r="AP66" s="457"/>
      <c r="AQ66" s="458"/>
      <c r="AR66" s="459"/>
      <c r="AS66" s="460"/>
    </row>
    <row r="67" spans="1:45" x14ac:dyDescent="0.2">
      <c r="A67" s="140">
        <f t="shared" si="0"/>
        <v>63</v>
      </c>
      <c r="B67" s="167"/>
      <c r="C67" s="436"/>
      <c r="D67" s="1232"/>
      <c r="E67" s="1232"/>
      <c r="F67" s="1232"/>
      <c r="G67" s="1232"/>
      <c r="H67" s="1232"/>
      <c r="I67" s="1232"/>
      <c r="J67" s="1232"/>
      <c r="K67" s="1232"/>
      <c r="L67" s="1232"/>
      <c r="M67" s="1232"/>
      <c r="N67" s="1232"/>
      <c r="O67" s="1232"/>
      <c r="P67" s="1232"/>
      <c r="Q67" s="1232"/>
      <c r="R67" s="1232"/>
      <c r="S67" s="1232"/>
      <c r="T67" s="1232"/>
      <c r="U67" s="1232"/>
      <c r="V67" s="1232"/>
      <c r="W67" s="1232"/>
      <c r="X67" s="1232"/>
      <c r="Y67" s="1232"/>
      <c r="Z67" s="1232"/>
      <c r="AA67" s="1232"/>
      <c r="AB67" s="1232"/>
      <c r="AC67" s="1232"/>
      <c r="AD67" s="1232"/>
      <c r="AE67" s="1232"/>
      <c r="AF67" s="1232"/>
      <c r="AG67" s="1232"/>
      <c r="AH67" s="1232"/>
      <c r="AI67" s="1232"/>
      <c r="AJ67" s="1232"/>
      <c r="AK67" s="1232"/>
      <c r="AL67" s="490"/>
      <c r="AM67" s="15"/>
      <c r="AN67" s="188"/>
      <c r="AP67" s="457"/>
      <c r="AQ67" s="458"/>
      <c r="AR67" s="459"/>
      <c r="AS67" s="460"/>
    </row>
    <row r="68" spans="1:45" ht="12.75" customHeight="1" x14ac:dyDescent="0.2">
      <c r="A68" s="838">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50"/>
      <c r="J70" s="1150"/>
      <c r="K70" s="1150"/>
      <c r="L70" s="1150"/>
      <c r="M70" s="1150"/>
      <c r="N70" s="1150"/>
      <c r="O70" s="1150"/>
      <c r="P70" s="1150"/>
      <c r="Q70" s="1150"/>
      <c r="R70" s="1150"/>
      <c r="S70" s="1150"/>
      <c r="T70" s="1150"/>
      <c r="W70" s="104" t="s">
        <v>48</v>
      </c>
      <c r="X70" s="104"/>
      <c r="Y70" s="1114"/>
      <c r="Z70" s="1114"/>
      <c r="AE70" s="292" t="s">
        <v>271</v>
      </c>
      <c r="AF70" s="292"/>
      <c r="AG70" s="292"/>
      <c r="AH70" s="1113"/>
      <c r="AI70" s="1113"/>
      <c r="AJ70" s="258" t="s">
        <v>269</v>
      </c>
      <c r="AK70" s="1101" t="str">
        <f>IF(C_PageNo_Total=0,"",C_PageNo_Total)</f>
        <v/>
      </c>
      <c r="AL70" s="1101"/>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6" t="s">
        <v>303</v>
      </c>
      <c r="G2" s="1246"/>
      <c r="H2" s="1246"/>
      <c r="I2" s="1246"/>
      <c r="J2" s="1246"/>
      <c r="K2" s="1246"/>
      <c r="L2" s="1246"/>
      <c r="M2" s="1246"/>
      <c r="N2" s="1246"/>
      <c r="O2" s="1246"/>
      <c r="P2" s="1246"/>
      <c r="Q2" s="1246"/>
      <c r="R2" s="1246"/>
      <c r="S2" s="1246"/>
      <c r="T2" s="1246"/>
      <c r="U2" s="1246"/>
      <c r="V2" s="1246"/>
      <c r="W2" s="1246"/>
      <c r="X2" s="1246"/>
      <c r="Y2" s="1246"/>
      <c r="Z2" s="1246"/>
      <c r="AA2" s="1246"/>
      <c r="AB2" s="1246"/>
      <c r="AC2" s="1246"/>
      <c r="AD2" s="1246"/>
      <c r="AE2" s="1246"/>
      <c r="AF2" s="1246"/>
      <c r="AG2" s="1246"/>
      <c r="AH2" s="1246"/>
      <c r="AI2" s="1246"/>
      <c r="AJ2" s="1246"/>
      <c r="AK2" s="1246"/>
      <c r="AL2" s="1246"/>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44"/>
      <c r="E4" s="1244"/>
      <c r="F4" s="1244"/>
      <c r="G4" s="1244"/>
      <c r="H4" s="1244"/>
      <c r="I4" s="1244"/>
      <c r="J4" s="1244"/>
      <c r="K4" s="1244"/>
      <c r="L4" s="1244"/>
      <c r="M4" s="1244"/>
      <c r="N4" s="1244"/>
      <c r="O4" s="1244"/>
      <c r="P4" s="1244"/>
      <c r="Q4" s="1244"/>
      <c r="R4" s="1244"/>
      <c r="S4" s="1244"/>
      <c r="T4" s="1244"/>
      <c r="U4" s="1244"/>
      <c r="V4" s="1244"/>
      <c r="W4" s="1244"/>
      <c r="X4" s="1244"/>
      <c r="Y4" s="1244"/>
      <c r="Z4" s="1244"/>
      <c r="AA4" s="1244"/>
      <c r="AB4" s="1244"/>
      <c r="AC4" s="1244"/>
      <c r="AD4" s="1244"/>
      <c r="AE4" s="1244"/>
      <c r="AF4" s="1244"/>
      <c r="AG4" s="1244"/>
      <c r="AH4" s="1244"/>
      <c r="AI4" s="1244"/>
      <c r="AJ4" s="1244"/>
      <c r="AK4" s="1244"/>
      <c r="AL4" s="1244"/>
      <c r="AM4" s="311"/>
      <c r="AN4" s="187" t="s">
        <v>7</v>
      </c>
    </row>
    <row r="5" spans="1:40" x14ac:dyDescent="0.2">
      <c r="A5" s="107">
        <f>A4+1</f>
        <v>2</v>
      </c>
      <c r="B5" s="171"/>
      <c r="C5" s="312"/>
      <c r="D5" s="1244"/>
      <c r="E5" s="1244"/>
      <c r="F5" s="1244"/>
      <c r="G5" s="1244"/>
      <c r="H5" s="1244"/>
      <c r="I5" s="1244"/>
      <c r="J5" s="1244"/>
      <c r="K5" s="1244"/>
      <c r="L5" s="1244"/>
      <c r="M5" s="1244"/>
      <c r="N5" s="1244"/>
      <c r="O5" s="1244"/>
      <c r="P5" s="1244"/>
      <c r="Q5" s="1244"/>
      <c r="R5" s="1244"/>
      <c r="S5" s="1244"/>
      <c r="T5" s="1244"/>
      <c r="U5" s="1244"/>
      <c r="V5" s="1244"/>
      <c r="W5" s="1244"/>
      <c r="X5" s="1244"/>
      <c r="Y5" s="1244"/>
      <c r="Z5" s="1244"/>
      <c r="AA5" s="1244"/>
      <c r="AB5" s="1244"/>
      <c r="AC5" s="1244"/>
      <c r="AD5" s="1244"/>
      <c r="AE5" s="1244"/>
      <c r="AF5" s="1244"/>
      <c r="AG5" s="1244"/>
      <c r="AH5" s="1244"/>
      <c r="AI5" s="1244"/>
      <c r="AJ5" s="1244"/>
      <c r="AK5" s="1244"/>
      <c r="AL5" s="1244"/>
      <c r="AM5" s="183"/>
      <c r="AN5" s="207"/>
    </row>
    <row r="6" spans="1:40" x14ac:dyDescent="0.2">
      <c r="A6" s="107">
        <f>A5+1</f>
        <v>3</v>
      </c>
      <c r="B6" s="107"/>
      <c r="C6" s="312"/>
      <c r="D6" s="1244"/>
      <c r="E6" s="1244"/>
      <c r="F6" s="1244"/>
      <c r="G6" s="1244"/>
      <c r="H6" s="1244"/>
      <c r="I6" s="1244"/>
      <c r="J6" s="1244"/>
      <c r="K6" s="1244"/>
      <c r="L6" s="1244"/>
      <c r="M6" s="1244"/>
      <c r="N6" s="1244"/>
      <c r="O6" s="1244"/>
      <c r="P6" s="1244"/>
      <c r="Q6" s="1244"/>
      <c r="R6" s="1244"/>
      <c r="S6" s="1244"/>
      <c r="T6" s="1244"/>
      <c r="U6" s="1244"/>
      <c r="V6" s="1244"/>
      <c r="W6" s="1244"/>
      <c r="X6" s="1244"/>
      <c r="Y6" s="1244"/>
      <c r="Z6" s="1244"/>
      <c r="AA6" s="1244"/>
      <c r="AB6" s="1244"/>
      <c r="AC6" s="1244"/>
      <c r="AD6" s="1244"/>
      <c r="AE6" s="1244"/>
      <c r="AF6" s="1244"/>
      <c r="AG6" s="1244"/>
      <c r="AH6" s="1244"/>
      <c r="AI6" s="1244"/>
      <c r="AJ6" s="1244"/>
      <c r="AK6" s="1244"/>
      <c r="AL6" s="1244"/>
      <c r="AM6" s="183"/>
      <c r="AN6" s="188"/>
    </row>
    <row r="7" spans="1:40" x14ac:dyDescent="0.2">
      <c r="A7" s="107">
        <f>A6+1</f>
        <v>4</v>
      </c>
      <c r="B7" s="168"/>
      <c r="C7" s="313"/>
      <c r="D7" s="1244"/>
      <c r="E7" s="1244"/>
      <c r="F7" s="1244"/>
      <c r="G7" s="1244"/>
      <c r="H7" s="1244"/>
      <c r="I7" s="1244"/>
      <c r="J7" s="1244"/>
      <c r="K7" s="1244"/>
      <c r="L7" s="1244"/>
      <c r="M7" s="1244"/>
      <c r="N7" s="1244"/>
      <c r="O7" s="1244"/>
      <c r="P7" s="1244"/>
      <c r="Q7" s="1244"/>
      <c r="R7" s="1244"/>
      <c r="S7" s="1244"/>
      <c r="T7" s="1244"/>
      <c r="U7" s="1244"/>
      <c r="V7" s="1244"/>
      <c r="W7" s="1244"/>
      <c r="X7" s="1244"/>
      <c r="Y7" s="1244"/>
      <c r="Z7" s="1244"/>
      <c r="AA7" s="1244"/>
      <c r="AB7" s="1244"/>
      <c r="AC7" s="1244"/>
      <c r="AD7" s="1244"/>
      <c r="AE7" s="1244"/>
      <c r="AF7" s="1244"/>
      <c r="AG7" s="1244"/>
      <c r="AH7" s="1244"/>
      <c r="AI7" s="1244"/>
      <c r="AJ7" s="1244"/>
      <c r="AK7" s="1244"/>
      <c r="AL7" s="1244"/>
      <c r="AM7" s="183"/>
      <c r="AN7" s="208"/>
    </row>
    <row r="8" spans="1:40" x14ac:dyDescent="0.2">
      <c r="A8" s="107" t="s">
        <v>198</v>
      </c>
      <c r="B8" s="167"/>
      <c r="C8" s="314"/>
      <c r="D8" s="1244"/>
      <c r="E8" s="1244"/>
      <c r="F8" s="1244"/>
      <c r="G8" s="1244"/>
      <c r="H8" s="1244"/>
      <c r="I8" s="1244"/>
      <c r="J8" s="1244"/>
      <c r="K8" s="1244"/>
      <c r="L8" s="1244"/>
      <c r="M8" s="1244"/>
      <c r="N8" s="1244"/>
      <c r="O8" s="1244"/>
      <c r="P8" s="1244"/>
      <c r="Q8" s="1244"/>
      <c r="R8" s="1244"/>
      <c r="S8" s="1244"/>
      <c r="T8" s="1244"/>
      <c r="U8" s="1244"/>
      <c r="V8" s="1244"/>
      <c r="W8" s="1244"/>
      <c r="X8" s="1244"/>
      <c r="Y8" s="1244"/>
      <c r="Z8" s="1244"/>
      <c r="AA8" s="1244"/>
      <c r="AB8" s="1244"/>
      <c r="AC8" s="1244"/>
      <c r="AD8" s="1244"/>
      <c r="AE8" s="1244"/>
      <c r="AF8" s="1244"/>
      <c r="AG8" s="1244"/>
      <c r="AH8" s="1244"/>
      <c r="AI8" s="1244"/>
      <c r="AJ8" s="1244"/>
      <c r="AK8" s="1244"/>
      <c r="AL8" s="1244"/>
      <c r="AM8" s="315"/>
      <c r="AN8" s="189"/>
    </row>
    <row r="9" spans="1:40" x14ac:dyDescent="0.2">
      <c r="A9" s="107">
        <f t="shared" ref="A9:A23" si="0">A8+1</f>
        <v>6</v>
      </c>
      <c r="B9" s="167"/>
      <c r="C9" s="316"/>
      <c r="D9" s="1244"/>
      <c r="E9" s="1244"/>
      <c r="F9" s="1244"/>
      <c r="G9" s="1244"/>
      <c r="H9" s="1244"/>
      <c r="I9" s="1244"/>
      <c r="J9" s="1244"/>
      <c r="K9" s="1244"/>
      <c r="L9" s="1244"/>
      <c r="M9" s="1244"/>
      <c r="N9" s="1244"/>
      <c r="O9" s="1244"/>
      <c r="P9" s="1244"/>
      <c r="Q9" s="1244"/>
      <c r="R9" s="1244"/>
      <c r="S9" s="1244"/>
      <c r="T9" s="1244"/>
      <c r="U9" s="1244"/>
      <c r="V9" s="1244"/>
      <c r="W9" s="1244"/>
      <c r="X9" s="1244"/>
      <c r="Y9" s="1244"/>
      <c r="Z9" s="1244"/>
      <c r="AA9" s="1244"/>
      <c r="AB9" s="1244"/>
      <c r="AC9" s="1244"/>
      <c r="AD9" s="1244"/>
      <c r="AE9" s="1244"/>
      <c r="AF9" s="1244"/>
      <c r="AG9" s="1244"/>
      <c r="AH9" s="1244"/>
      <c r="AI9" s="1244"/>
      <c r="AJ9" s="1244"/>
      <c r="AK9" s="1244"/>
      <c r="AL9" s="1244"/>
      <c r="AM9" s="183"/>
      <c r="AN9" s="189"/>
    </row>
    <row r="10" spans="1:40" x14ac:dyDescent="0.2">
      <c r="A10" s="107">
        <f t="shared" si="0"/>
        <v>7</v>
      </c>
      <c r="B10" s="167"/>
      <c r="C10" s="317"/>
      <c r="D10" s="1244"/>
      <c r="E10" s="1244"/>
      <c r="F10" s="1244"/>
      <c r="G10" s="1244"/>
      <c r="H10" s="1244"/>
      <c r="I10" s="1244"/>
      <c r="J10" s="1244"/>
      <c r="K10" s="1244"/>
      <c r="L10" s="1244"/>
      <c r="M10" s="1244"/>
      <c r="N10" s="1244"/>
      <c r="O10" s="1244"/>
      <c r="P10" s="1244"/>
      <c r="Q10" s="1244"/>
      <c r="R10" s="1244"/>
      <c r="S10" s="1244"/>
      <c r="T10" s="1244"/>
      <c r="U10" s="1244"/>
      <c r="V10" s="1244"/>
      <c r="W10" s="1244"/>
      <c r="X10" s="1244"/>
      <c r="Y10" s="1244"/>
      <c r="Z10" s="1244"/>
      <c r="AA10" s="1244"/>
      <c r="AB10" s="1244"/>
      <c r="AC10" s="1244"/>
      <c r="AD10" s="1244"/>
      <c r="AE10" s="1244"/>
      <c r="AF10" s="1244"/>
      <c r="AG10" s="1244"/>
      <c r="AH10" s="1244"/>
      <c r="AI10" s="1244"/>
      <c r="AJ10" s="1244"/>
      <c r="AK10" s="1244"/>
      <c r="AL10" s="1244"/>
      <c r="AM10" s="183"/>
      <c r="AN10" s="189"/>
    </row>
    <row r="11" spans="1:40" x14ac:dyDescent="0.2">
      <c r="A11" s="107">
        <f t="shared" si="0"/>
        <v>8</v>
      </c>
      <c r="B11" s="167"/>
      <c r="C11" s="317"/>
      <c r="D11" s="1244"/>
      <c r="E11" s="1244"/>
      <c r="F11" s="1244"/>
      <c r="G11" s="1244"/>
      <c r="H11" s="1244"/>
      <c r="I11" s="1244"/>
      <c r="J11" s="1244"/>
      <c r="K11" s="1244"/>
      <c r="L11" s="1244"/>
      <c r="M11" s="1244"/>
      <c r="N11" s="1244"/>
      <c r="O11" s="1244"/>
      <c r="P11" s="1244"/>
      <c r="Q11" s="1244"/>
      <c r="R11" s="1244"/>
      <c r="S11" s="1244"/>
      <c r="T11" s="1244"/>
      <c r="U11" s="1244"/>
      <c r="V11" s="1244"/>
      <c r="W11" s="1244"/>
      <c r="X11" s="1244"/>
      <c r="Y11" s="1244"/>
      <c r="Z11" s="1244"/>
      <c r="AA11" s="1244"/>
      <c r="AB11" s="1244"/>
      <c r="AC11" s="1244"/>
      <c r="AD11" s="1244"/>
      <c r="AE11" s="1244"/>
      <c r="AF11" s="1244"/>
      <c r="AG11" s="1244"/>
      <c r="AH11" s="1244"/>
      <c r="AI11" s="1244"/>
      <c r="AJ11" s="1244"/>
      <c r="AK11" s="1244"/>
      <c r="AL11" s="1244"/>
      <c r="AM11" s="183"/>
      <c r="AN11" s="189"/>
    </row>
    <row r="12" spans="1:40" x14ac:dyDescent="0.2">
      <c r="A12" s="107">
        <f t="shared" si="0"/>
        <v>9</v>
      </c>
      <c r="B12" s="167"/>
      <c r="C12" s="317"/>
      <c r="D12" s="1244"/>
      <c r="E12" s="1244"/>
      <c r="F12" s="1244"/>
      <c r="G12" s="1244"/>
      <c r="H12" s="1244"/>
      <c r="I12" s="1244"/>
      <c r="J12" s="1244"/>
      <c r="K12" s="1244"/>
      <c r="L12" s="1244"/>
      <c r="M12" s="1244"/>
      <c r="N12" s="1244"/>
      <c r="O12" s="1244"/>
      <c r="P12" s="1244"/>
      <c r="Q12" s="1244"/>
      <c r="R12" s="1244"/>
      <c r="S12" s="1244"/>
      <c r="T12" s="1244"/>
      <c r="U12" s="1244"/>
      <c r="V12" s="1244"/>
      <c r="W12" s="1244"/>
      <c r="X12" s="1244"/>
      <c r="Y12" s="1244"/>
      <c r="Z12" s="1244"/>
      <c r="AA12" s="1244"/>
      <c r="AB12" s="1244"/>
      <c r="AC12" s="1244"/>
      <c r="AD12" s="1244"/>
      <c r="AE12" s="1244"/>
      <c r="AF12" s="1244"/>
      <c r="AG12" s="1244"/>
      <c r="AH12" s="1244"/>
      <c r="AI12" s="1244"/>
      <c r="AJ12" s="1244"/>
      <c r="AK12" s="1244"/>
      <c r="AL12" s="1244"/>
      <c r="AM12" s="183"/>
      <c r="AN12" s="189"/>
    </row>
    <row r="13" spans="1:40" x14ac:dyDescent="0.2">
      <c r="A13" s="107">
        <f t="shared" si="0"/>
        <v>10</v>
      </c>
      <c r="B13" s="167"/>
      <c r="C13" s="317"/>
      <c r="D13" s="1244"/>
      <c r="E13" s="1244"/>
      <c r="F13" s="1244"/>
      <c r="G13" s="1244"/>
      <c r="H13" s="1244"/>
      <c r="I13" s="1244"/>
      <c r="J13" s="1244"/>
      <c r="K13" s="1244"/>
      <c r="L13" s="1244"/>
      <c r="M13" s="1244"/>
      <c r="N13" s="1244"/>
      <c r="O13" s="1244"/>
      <c r="P13" s="1244"/>
      <c r="Q13" s="1244"/>
      <c r="R13" s="1244"/>
      <c r="S13" s="1244"/>
      <c r="T13" s="1244"/>
      <c r="U13" s="1244"/>
      <c r="V13" s="1244"/>
      <c r="W13" s="1244"/>
      <c r="X13" s="1244"/>
      <c r="Y13" s="1244"/>
      <c r="Z13" s="1244"/>
      <c r="AA13" s="1244"/>
      <c r="AB13" s="1244"/>
      <c r="AC13" s="1244"/>
      <c r="AD13" s="1244"/>
      <c r="AE13" s="1244"/>
      <c r="AF13" s="1244"/>
      <c r="AG13" s="1244"/>
      <c r="AH13" s="1244"/>
      <c r="AI13" s="1244"/>
      <c r="AJ13" s="1244"/>
      <c r="AK13" s="1244"/>
      <c r="AL13" s="1244"/>
      <c r="AM13" s="183"/>
      <c r="AN13" s="189"/>
    </row>
    <row r="14" spans="1:40" x14ac:dyDescent="0.2">
      <c r="A14" s="107">
        <f t="shared" si="0"/>
        <v>11</v>
      </c>
      <c r="B14" s="167"/>
      <c r="C14" s="318"/>
      <c r="D14" s="1244"/>
      <c r="E14" s="1244"/>
      <c r="F14" s="1244"/>
      <c r="G14" s="1244"/>
      <c r="H14" s="1244"/>
      <c r="I14" s="1244"/>
      <c r="J14" s="1244"/>
      <c r="K14" s="1244"/>
      <c r="L14" s="1244"/>
      <c r="M14" s="1244"/>
      <c r="N14" s="1244"/>
      <c r="O14" s="1244"/>
      <c r="P14" s="1244"/>
      <c r="Q14" s="1244"/>
      <c r="R14" s="1244"/>
      <c r="S14" s="1244"/>
      <c r="T14" s="1244"/>
      <c r="U14" s="1244"/>
      <c r="V14" s="1244"/>
      <c r="W14" s="1244"/>
      <c r="X14" s="1244"/>
      <c r="Y14" s="1244"/>
      <c r="Z14" s="1244"/>
      <c r="AA14" s="1244"/>
      <c r="AB14" s="1244"/>
      <c r="AC14" s="1244"/>
      <c r="AD14" s="1244"/>
      <c r="AE14" s="1244"/>
      <c r="AF14" s="1244"/>
      <c r="AG14" s="1244"/>
      <c r="AH14" s="1244"/>
      <c r="AI14" s="1244"/>
      <c r="AJ14" s="1244"/>
      <c r="AK14" s="1244"/>
      <c r="AL14" s="1244"/>
      <c r="AM14" s="183"/>
      <c r="AN14" s="189"/>
    </row>
    <row r="15" spans="1:40" x14ac:dyDescent="0.2">
      <c r="A15" s="107">
        <f t="shared" si="0"/>
        <v>12</v>
      </c>
      <c r="B15" s="167"/>
      <c r="C15" s="318"/>
      <c r="D15" s="1244"/>
      <c r="E15" s="1244"/>
      <c r="F15" s="1244"/>
      <c r="G15" s="1244"/>
      <c r="H15" s="1244"/>
      <c r="I15" s="1244"/>
      <c r="J15" s="1244"/>
      <c r="K15" s="1244"/>
      <c r="L15" s="1244"/>
      <c r="M15" s="1244"/>
      <c r="N15" s="1244"/>
      <c r="O15" s="1244"/>
      <c r="P15" s="1244"/>
      <c r="Q15" s="1244"/>
      <c r="R15" s="1244"/>
      <c r="S15" s="1244"/>
      <c r="T15" s="1244"/>
      <c r="U15" s="1244"/>
      <c r="V15" s="1244"/>
      <c r="W15" s="1244"/>
      <c r="X15" s="1244"/>
      <c r="Y15" s="1244"/>
      <c r="Z15" s="1244"/>
      <c r="AA15" s="1244"/>
      <c r="AB15" s="1244"/>
      <c r="AC15" s="1244"/>
      <c r="AD15" s="1244"/>
      <c r="AE15" s="1244"/>
      <c r="AF15" s="1244"/>
      <c r="AG15" s="1244"/>
      <c r="AH15" s="1244"/>
      <c r="AI15" s="1244"/>
      <c r="AJ15" s="1244"/>
      <c r="AK15" s="1244"/>
      <c r="AL15" s="1244"/>
      <c r="AM15" s="183"/>
      <c r="AN15" s="189"/>
    </row>
    <row r="16" spans="1:40" x14ac:dyDescent="0.2">
      <c r="A16" s="107">
        <f t="shared" si="0"/>
        <v>13</v>
      </c>
      <c r="B16" s="167"/>
      <c r="C16" s="316"/>
      <c r="D16" s="1244"/>
      <c r="E16" s="1244"/>
      <c r="F16" s="1244"/>
      <c r="G16" s="1244"/>
      <c r="H16" s="1244"/>
      <c r="I16" s="1244"/>
      <c r="J16" s="1244"/>
      <c r="K16" s="1244"/>
      <c r="L16" s="1244"/>
      <c r="M16" s="1244"/>
      <c r="N16" s="1244"/>
      <c r="O16" s="1244"/>
      <c r="P16" s="1244"/>
      <c r="Q16" s="1244"/>
      <c r="R16" s="1244"/>
      <c r="S16" s="1244"/>
      <c r="T16" s="1244"/>
      <c r="U16" s="1244"/>
      <c r="V16" s="1244"/>
      <c r="W16" s="1244"/>
      <c r="X16" s="1244"/>
      <c r="Y16" s="1244"/>
      <c r="Z16" s="1244"/>
      <c r="AA16" s="1244"/>
      <c r="AB16" s="1244"/>
      <c r="AC16" s="1244"/>
      <c r="AD16" s="1244"/>
      <c r="AE16" s="1244"/>
      <c r="AF16" s="1244"/>
      <c r="AG16" s="1244"/>
      <c r="AH16" s="1244"/>
      <c r="AI16" s="1244"/>
      <c r="AJ16" s="1244"/>
      <c r="AK16" s="1244"/>
      <c r="AL16" s="1244"/>
      <c r="AM16" s="183"/>
      <c r="AN16" s="189"/>
    </row>
    <row r="17" spans="1:40" x14ac:dyDescent="0.2">
      <c r="A17" s="107">
        <f t="shared" si="0"/>
        <v>14</v>
      </c>
      <c r="B17" s="167"/>
      <c r="C17" s="317"/>
      <c r="D17" s="1244"/>
      <c r="E17" s="1244"/>
      <c r="F17" s="1244"/>
      <c r="G17" s="1244"/>
      <c r="H17" s="1244"/>
      <c r="I17" s="1244"/>
      <c r="J17" s="1244"/>
      <c r="K17" s="1244"/>
      <c r="L17" s="1244"/>
      <c r="M17" s="1244"/>
      <c r="N17" s="1244"/>
      <c r="O17" s="1244"/>
      <c r="P17" s="1244"/>
      <c r="Q17" s="1244"/>
      <c r="R17" s="1244"/>
      <c r="S17" s="1244"/>
      <c r="T17" s="1244"/>
      <c r="U17" s="1244"/>
      <c r="V17" s="1244"/>
      <c r="W17" s="1244"/>
      <c r="X17" s="1244"/>
      <c r="Y17" s="1244"/>
      <c r="Z17" s="1244"/>
      <c r="AA17" s="1244"/>
      <c r="AB17" s="1244"/>
      <c r="AC17" s="1244"/>
      <c r="AD17" s="1244"/>
      <c r="AE17" s="1244"/>
      <c r="AF17" s="1244"/>
      <c r="AG17" s="1244"/>
      <c r="AH17" s="1244"/>
      <c r="AI17" s="1244"/>
      <c r="AJ17" s="1244"/>
      <c r="AK17" s="1244"/>
      <c r="AL17" s="1244"/>
      <c r="AM17" s="183"/>
      <c r="AN17" s="189"/>
    </row>
    <row r="18" spans="1:40" x14ac:dyDescent="0.2">
      <c r="A18" s="107">
        <f t="shared" si="0"/>
        <v>15</v>
      </c>
      <c r="B18" s="167"/>
      <c r="C18" s="316"/>
      <c r="D18" s="1244"/>
      <c r="E18" s="1244"/>
      <c r="F18" s="1244"/>
      <c r="G18" s="1244"/>
      <c r="H18" s="1244"/>
      <c r="I18" s="1244"/>
      <c r="J18" s="1244"/>
      <c r="K18" s="1244"/>
      <c r="L18" s="1244"/>
      <c r="M18" s="1244"/>
      <c r="N18" s="1244"/>
      <c r="O18" s="1244"/>
      <c r="P18" s="1244"/>
      <c r="Q18" s="1244"/>
      <c r="R18" s="1244"/>
      <c r="S18" s="1244"/>
      <c r="T18" s="1244"/>
      <c r="U18" s="1244"/>
      <c r="V18" s="1244"/>
      <c r="W18" s="1244"/>
      <c r="X18" s="1244"/>
      <c r="Y18" s="1244"/>
      <c r="Z18" s="1244"/>
      <c r="AA18" s="1244"/>
      <c r="AB18" s="1244"/>
      <c r="AC18" s="1244"/>
      <c r="AD18" s="1244"/>
      <c r="AE18" s="1244"/>
      <c r="AF18" s="1244"/>
      <c r="AG18" s="1244"/>
      <c r="AH18" s="1244"/>
      <c r="AI18" s="1244"/>
      <c r="AJ18" s="1244"/>
      <c r="AK18" s="1244"/>
      <c r="AL18" s="1244"/>
      <c r="AM18" s="183"/>
      <c r="AN18" s="189"/>
    </row>
    <row r="19" spans="1:40" x14ac:dyDescent="0.2">
      <c r="A19" s="107">
        <f t="shared" si="0"/>
        <v>16</v>
      </c>
      <c r="B19" s="167"/>
      <c r="C19" s="318"/>
      <c r="D19" s="1244"/>
      <c r="E19" s="1244"/>
      <c r="F19" s="1244"/>
      <c r="G19" s="1244"/>
      <c r="H19" s="1244"/>
      <c r="I19" s="1244"/>
      <c r="J19" s="1244"/>
      <c r="K19" s="1244"/>
      <c r="L19" s="1244"/>
      <c r="M19" s="1244"/>
      <c r="N19" s="1244"/>
      <c r="O19" s="1244"/>
      <c r="P19" s="1244"/>
      <c r="Q19" s="1244"/>
      <c r="R19" s="1244"/>
      <c r="S19" s="1244"/>
      <c r="T19" s="1244"/>
      <c r="U19" s="1244"/>
      <c r="V19" s="1244"/>
      <c r="W19" s="1244"/>
      <c r="X19" s="1244"/>
      <c r="Y19" s="1244"/>
      <c r="Z19" s="1244"/>
      <c r="AA19" s="1244"/>
      <c r="AB19" s="1244"/>
      <c r="AC19" s="1244"/>
      <c r="AD19" s="1244"/>
      <c r="AE19" s="1244"/>
      <c r="AF19" s="1244"/>
      <c r="AG19" s="1244"/>
      <c r="AH19" s="1244"/>
      <c r="AI19" s="1244"/>
      <c r="AJ19" s="1244"/>
      <c r="AK19" s="1244"/>
      <c r="AL19" s="1244"/>
      <c r="AM19" s="183"/>
      <c r="AN19" s="189"/>
    </row>
    <row r="20" spans="1:40" x14ac:dyDescent="0.2">
      <c r="A20" s="107">
        <f t="shared" si="0"/>
        <v>17</v>
      </c>
      <c r="B20" s="167"/>
      <c r="C20" s="318"/>
      <c r="D20" s="1244"/>
      <c r="E20" s="1244"/>
      <c r="F20" s="1244"/>
      <c r="G20" s="1244"/>
      <c r="H20" s="1244"/>
      <c r="I20" s="1244"/>
      <c r="J20" s="1244"/>
      <c r="K20" s="1244"/>
      <c r="L20" s="1244"/>
      <c r="M20" s="1244"/>
      <c r="N20" s="1244"/>
      <c r="O20" s="1244"/>
      <c r="P20" s="1244"/>
      <c r="Q20" s="1244"/>
      <c r="R20" s="1244"/>
      <c r="S20" s="1244"/>
      <c r="T20" s="1244"/>
      <c r="U20" s="1244"/>
      <c r="V20" s="1244"/>
      <c r="W20" s="1244"/>
      <c r="X20" s="1244"/>
      <c r="Y20" s="1244"/>
      <c r="Z20" s="1244"/>
      <c r="AA20" s="1244"/>
      <c r="AB20" s="1244"/>
      <c r="AC20" s="1244"/>
      <c r="AD20" s="1244"/>
      <c r="AE20" s="1244"/>
      <c r="AF20" s="1244"/>
      <c r="AG20" s="1244"/>
      <c r="AH20" s="1244"/>
      <c r="AI20" s="1244"/>
      <c r="AJ20" s="1244"/>
      <c r="AK20" s="1244"/>
      <c r="AL20" s="1244"/>
      <c r="AM20" s="183"/>
      <c r="AN20" s="189"/>
    </row>
    <row r="21" spans="1:40" x14ac:dyDescent="0.2">
      <c r="A21" s="107">
        <f t="shared" si="0"/>
        <v>18</v>
      </c>
      <c r="B21" s="167"/>
      <c r="C21" s="316"/>
      <c r="D21" s="1244"/>
      <c r="E21" s="1244"/>
      <c r="F21" s="1244"/>
      <c r="G21" s="1244"/>
      <c r="H21" s="1244"/>
      <c r="I21" s="1244"/>
      <c r="J21" s="1244"/>
      <c r="K21" s="1244"/>
      <c r="L21" s="1244"/>
      <c r="M21" s="1244"/>
      <c r="N21" s="1244"/>
      <c r="O21" s="1244"/>
      <c r="P21" s="1244"/>
      <c r="Q21" s="1244"/>
      <c r="R21" s="1244"/>
      <c r="S21" s="1244"/>
      <c r="T21" s="1244"/>
      <c r="U21" s="1244"/>
      <c r="V21" s="1244"/>
      <c r="W21" s="1244"/>
      <c r="X21" s="1244"/>
      <c r="Y21" s="1244"/>
      <c r="Z21" s="1244"/>
      <c r="AA21" s="1244"/>
      <c r="AB21" s="1244"/>
      <c r="AC21" s="1244"/>
      <c r="AD21" s="1244"/>
      <c r="AE21" s="1244"/>
      <c r="AF21" s="1244"/>
      <c r="AG21" s="1244"/>
      <c r="AH21" s="1244"/>
      <c r="AI21" s="1244"/>
      <c r="AJ21" s="1244"/>
      <c r="AK21" s="1244"/>
      <c r="AL21" s="1244"/>
      <c r="AM21" s="183"/>
      <c r="AN21" s="189"/>
    </row>
    <row r="22" spans="1:40" x14ac:dyDescent="0.2">
      <c r="A22" s="107">
        <f t="shared" si="0"/>
        <v>19</v>
      </c>
      <c r="B22" s="167"/>
      <c r="C22" s="317"/>
      <c r="D22" s="1244"/>
      <c r="E22" s="1244"/>
      <c r="F22" s="1244"/>
      <c r="G22" s="1244"/>
      <c r="H22" s="1244"/>
      <c r="I22" s="1244"/>
      <c r="J22" s="1244"/>
      <c r="K22" s="1244"/>
      <c r="L22" s="1244"/>
      <c r="M22" s="1244"/>
      <c r="N22" s="1244"/>
      <c r="O22" s="1244"/>
      <c r="P22" s="1244"/>
      <c r="Q22" s="1244"/>
      <c r="R22" s="1244"/>
      <c r="S22" s="1244"/>
      <c r="T22" s="1244"/>
      <c r="U22" s="1244"/>
      <c r="V22" s="1244"/>
      <c r="W22" s="1244"/>
      <c r="X22" s="1244"/>
      <c r="Y22" s="1244"/>
      <c r="Z22" s="1244"/>
      <c r="AA22" s="1244"/>
      <c r="AB22" s="1244"/>
      <c r="AC22" s="1244"/>
      <c r="AD22" s="1244"/>
      <c r="AE22" s="1244"/>
      <c r="AF22" s="1244"/>
      <c r="AG22" s="1244"/>
      <c r="AH22" s="1244"/>
      <c r="AI22" s="1244"/>
      <c r="AJ22" s="1244"/>
      <c r="AK22" s="1244"/>
      <c r="AL22" s="1244"/>
      <c r="AM22" s="183"/>
      <c r="AN22" s="189"/>
    </row>
    <row r="23" spans="1:40" x14ac:dyDescent="0.2">
      <c r="A23" s="107">
        <f t="shared" si="0"/>
        <v>20</v>
      </c>
      <c r="B23" s="168"/>
      <c r="C23" s="317"/>
      <c r="D23" s="1245"/>
      <c r="E23" s="1245"/>
      <c r="F23" s="1245"/>
      <c r="G23" s="1245"/>
      <c r="H23" s="1245"/>
      <c r="I23" s="1245"/>
      <c r="J23" s="1245"/>
      <c r="K23" s="1245"/>
      <c r="L23" s="1245"/>
      <c r="M23" s="1245"/>
      <c r="N23" s="1245"/>
      <c r="O23" s="1245"/>
      <c r="P23" s="1245"/>
      <c r="Q23" s="1245"/>
      <c r="R23" s="1245"/>
      <c r="S23" s="1245"/>
      <c r="T23" s="1245"/>
      <c r="U23" s="1245"/>
      <c r="V23" s="1245"/>
      <c r="W23" s="1245"/>
      <c r="X23" s="1245"/>
      <c r="Y23" s="1245"/>
      <c r="Z23" s="1245"/>
      <c r="AA23" s="1245"/>
      <c r="AB23" s="1245"/>
      <c r="AC23" s="1245"/>
      <c r="AD23" s="1245"/>
      <c r="AE23" s="1245"/>
      <c r="AF23" s="1245"/>
      <c r="AG23" s="1245"/>
      <c r="AH23" s="1245"/>
      <c r="AI23" s="1245"/>
      <c r="AJ23" s="1245"/>
      <c r="AK23" s="1245"/>
      <c r="AL23" s="1245"/>
      <c r="AM23" s="183"/>
      <c r="AN23" s="208"/>
    </row>
    <row r="24" spans="1:40" x14ac:dyDescent="0.2">
      <c r="A24" s="107" t="s">
        <v>197</v>
      </c>
      <c r="B24" s="167"/>
      <c r="C24" s="319"/>
      <c r="D24" s="1244"/>
      <c r="E24" s="1244"/>
      <c r="F24" s="1244"/>
      <c r="G24" s="1244"/>
      <c r="H24" s="1244"/>
      <c r="I24" s="1244"/>
      <c r="J24" s="1244"/>
      <c r="K24" s="1244"/>
      <c r="L24" s="1244"/>
      <c r="M24" s="1244"/>
      <c r="N24" s="1244"/>
      <c r="O24" s="1244"/>
      <c r="P24" s="1244"/>
      <c r="Q24" s="1244"/>
      <c r="R24" s="1244"/>
      <c r="S24" s="1244"/>
      <c r="T24" s="1244"/>
      <c r="U24" s="1244"/>
      <c r="V24" s="1244"/>
      <c r="W24" s="1244"/>
      <c r="X24" s="1244"/>
      <c r="Y24" s="1244"/>
      <c r="Z24" s="1244"/>
      <c r="AA24" s="1244"/>
      <c r="AB24" s="1244"/>
      <c r="AC24" s="1244"/>
      <c r="AD24" s="1244"/>
      <c r="AE24" s="1244"/>
      <c r="AF24" s="1244"/>
      <c r="AG24" s="1244"/>
      <c r="AH24" s="1244"/>
      <c r="AI24" s="1244"/>
      <c r="AJ24" s="1244"/>
      <c r="AK24" s="1244"/>
      <c r="AL24" s="1244"/>
      <c r="AM24" s="249"/>
      <c r="AN24" s="189"/>
    </row>
    <row r="25" spans="1:40" x14ac:dyDescent="0.2">
      <c r="A25" s="107">
        <f t="shared" ref="A25:A32" si="1">A24+1</f>
        <v>22</v>
      </c>
      <c r="B25" s="167"/>
      <c r="C25" s="317"/>
      <c r="D25" s="1244"/>
      <c r="E25" s="1244"/>
      <c r="F25" s="1244"/>
      <c r="G25" s="1244"/>
      <c r="H25" s="1244"/>
      <c r="I25" s="1244"/>
      <c r="J25" s="1244"/>
      <c r="K25" s="1244"/>
      <c r="L25" s="1244"/>
      <c r="M25" s="1244"/>
      <c r="N25" s="1244"/>
      <c r="O25" s="1244"/>
      <c r="P25" s="1244"/>
      <c r="Q25" s="1244"/>
      <c r="R25" s="1244"/>
      <c r="S25" s="1244"/>
      <c r="T25" s="1244"/>
      <c r="U25" s="1244"/>
      <c r="V25" s="1244"/>
      <c r="W25" s="1244"/>
      <c r="X25" s="1244"/>
      <c r="Y25" s="1244"/>
      <c r="Z25" s="1244"/>
      <c r="AA25" s="1244"/>
      <c r="AB25" s="1244"/>
      <c r="AC25" s="1244"/>
      <c r="AD25" s="1244"/>
      <c r="AE25" s="1244"/>
      <c r="AF25" s="1244"/>
      <c r="AG25" s="1244"/>
      <c r="AH25" s="1244"/>
      <c r="AI25" s="1244"/>
      <c r="AJ25" s="1244"/>
      <c r="AK25" s="1244"/>
      <c r="AL25" s="1244"/>
      <c r="AM25" s="183"/>
      <c r="AN25" s="189"/>
    </row>
    <row r="26" spans="1:40" x14ac:dyDescent="0.2">
      <c r="A26" s="107">
        <f t="shared" si="1"/>
        <v>23</v>
      </c>
      <c r="B26" s="167"/>
      <c r="C26" s="317"/>
      <c r="D26" s="1244"/>
      <c r="E26" s="1244"/>
      <c r="F26" s="1244"/>
      <c r="G26" s="1244"/>
      <c r="H26" s="1244"/>
      <c r="I26" s="1244"/>
      <c r="J26" s="1244"/>
      <c r="K26" s="1244"/>
      <c r="L26" s="1244"/>
      <c r="M26" s="1244"/>
      <c r="N26" s="1244"/>
      <c r="O26" s="1244"/>
      <c r="P26" s="1244"/>
      <c r="Q26" s="1244"/>
      <c r="R26" s="1244"/>
      <c r="S26" s="1244"/>
      <c r="T26" s="1244"/>
      <c r="U26" s="1244"/>
      <c r="V26" s="1244"/>
      <c r="W26" s="1244"/>
      <c r="X26" s="1244"/>
      <c r="Y26" s="1244"/>
      <c r="Z26" s="1244"/>
      <c r="AA26" s="1244"/>
      <c r="AB26" s="1244"/>
      <c r="AC26" s="1244"/>
      <c r="AD26" s="1244"/>
      <c r="AE26" s="1244"/>
      <c r="AF26" s="1244"/>
      <c r="AG26" s="1244"/>
      <c r="AH26" s="1244"/>
      <c r="AI26" s="1244"/>
      <c r="AJ26" s="1244"/>
      <c r="AK26" s="1244"/>
      <c r="AL26" s="1244"/>
      <c r="AM26" s="183"/>
      <c r="AN26" s="189"/>
    </row>
    <row r="27" spans="1:40" x14ac:dyDescent="0.2">
      <c r="A27" s="107">
        <f t="shared" si="1"/>
        <v>24</v>
      </c>
      <c r="B27" s="167"/>
      <c r="C27" s="317"/>
      <c r="D27" s="1244"/>
      <c r="E27" s="1244"/>
      <c r="F27" s="1244"/>
      <c r="G27" s="1244"/>
      <c r="H27" s="1244"/>
      <c r="I27" s="1244"/>
      <c r="J27" s="1244"/>
      <c r="K27" s="1244"/>
      <c r="L27" s="1244"/>
      <c r="M27" s="1244"/>
      <c r="N27" s="1244"/>
      <c r="O27" s="1244"/>
      <c r="P27" s="1244"/>
      <c r="Q27" s="1244"/>
      <c r="R27" s="1244"/>
      <c r="S27" s="1244"/>
      <c r="T27" s="1244"/>
      <c r="U27" s="1244"/>
      <c r="V27" s="1244"/>
      <c r="W27" s="1244"/>
      <c r="X27" s="1244"/>
      <c r="Y27" s="1244"/>
      <c r="Z27" s="1244"/>
      <c r="AA27" s="1244"/>
      <c r="AB27" s="1244"/>
      <c r="AC27" s="1244"/>
      <c r="AD27" s="1244"/>
      <c r="AE27" s="1244"/>
      <c r="AF27" s="1244"/>
      <c r="AG27" s="1244"/>
      <c r="AH27" s="1244"/>
      <c r="AI27" s="1244"/>
      <c r="AJ27" s="1244"/>
      <c r="AK27" s="1244"/>
      <c r="AL27" s="1244"/>
      <c r="AM27" s="183"/>
      <c r="AN27" s="189"/>
    </row>
    <row r="28" spans="1:40" x14ac:dyDescent="0.2">
      <c r="A28" s="107">
        <f t="shared" si="1"/>
        <v>25</v>
      </c>
      <c r="B28" s="167"/>
      <c r="C28" s="317"/>
      <c r="D28" s="1244"/>
      <c r="E28" s="1244"/>
      <c r="F28" s="1244"/>
      <c r="G28" s="1244"/>
      <c r="H28" s="1244"/>
      <c r="I28" s="1244"/>
      <c r="J28" s="1244"/>
      <c r="K28" s="1244"/>
      <c r="L28" s="1244"/>
      <c r="M28" s="1244"/>
      <c r="N28" s="1244"/>
      <c r="O28" s="1244"/>
      <c r="P28" s="1244"/>
      <c r="Q28" s="1244"/>
      <c r="R28" s="1244"/>
      <c r="S28" s="1244"/>
      <c r="T28" s="1244"/>
      <c r="U28" s="1244"/>
      <c r="V28" s="1244"/>
      <c r="W28" s="1244"/>
      <c r="X28" s="1244"/>
      <c r="Y28" s="1244"/>
      <c r="Z28" s="1244"/>
      <c r="AA28" s="1244"/>
      <c r="AB28" s="1244"/>
      <c r="AC28" s="1244"/>
      <c r="AD28" s="1244"/>
      <c r="AE28" s="1244"/>
      <c r="AF28" s="1244"/>
      <c r="AG28" s="1244"/>
      <c r="AH28" s="1244"/>
      <c r="AI28" s="1244"/>
      <c r="AJ28" s="1244"/>
      <c r="AK28" s="1244"/>
      <c r="AL28" s="1244"/>
      <c r="AM28" s="183"/>
      <c r="AN28" s="189"/>
    </row>
    <row r="29" spans="1:40" x14ac:dyDescent="0.2">
      <c r="A29" s="107">
        <f t="shared" si="1"/>
        <v>26</v>
      </c>
      <c r="B29" s="167"/>
      <c r="C29" s="320"/>
      <c r="D29" s="1244"/>
      <c r="E29" s="1244"/>
      <c r="F29" s="1244"/>
      <c r="G29" s="1244"/>
      <c r="H29" s="1244"/>
      <c r="I29" s="1244"/>
      <c r="J29" s="1244"/>
      <c r="K29" s="1244"/>
      <c r="L29" s="1244"/>
      <c r="M29" s="1244"/>
      <c r="N29" s="1244"/>
      <c r="O29" s="1244"/>
      <c r="P29" s="1244"/>
      <c r="Q29" s="1244"/>
      <c r="R29" s="1244"/>
      <c r="S29" s="1244"/>
      <c r="T29" s="1244"/>
      <c r="U29" s="1244"/>
      <c r="V29" s="1244"/>
      <c r="W29" s="1244"/>
      <c r="X29" s="1244"/>
      <c r="Y29" s="1244"/>
      <c r="Z29" s="1244"/>
      <c r="AA29" s="1244"/>
      <c r="AB29" s="1244"/>
      <c r="AC29" s="1244"/>
      <c r="AD29" s="1244"/>
      <c r="AE29" s="1244"/>
      <c r="AF29" s="1244"/>
      <c r="AG29" s="1244"/>
      <c r="AH29" s="1244"/>
      <c r="AI29" s="1244"/>
      <c r="AJ29" s="1244"/>
      <c r="AK29" s="1244"/>
      <c r="AL29" s="1244"/>
      <c r="AM29" s="183"/>
      <c r="AN29" s="189"/>
    </row>
    <row r="30" spans="1:40" x14ac:dyDescent="0.2">
      <c r="A30" s="107">
        <f t="shared" si="1"/>
        <v>27</v>
      </c>
      <c r="B30" s="167"/>
      <c r="C30" s="317"/>
      <c r="D30" s="1244"/>
      <c r="E30" s="1244"/>
      <c r="F30" s="1244"/>
      <c r="G30" s="1244"/>
      <c r="H30" s="1244"/>
      <c r="I30" s="1244"/>
      <c r="J30" s="1244"/>
      <c r="K30" s="1244"/>
      <c r="L30" s="1244"/>
      <c r="M30" s="1244"/>
      <c r="N30" s="1244"/>
      <c r="O30" s="1244"/>
      <c r="P30" s="1244"/>
      <c r="Q30" s="1244"/>
      <c r="R30" s="1244"/>
      <c r="S30" s="1244"/>
      <c r="T30" s="1244"/>
      <c r="U30" s="1244"/>
      <c r="V30" s="1244"/>
      <c r="W30" s="1244"/>
      <c r="X30" s="1244"/>
      <c r="Y30" s="1244"/>
      <c r="Z30" s="1244"/>
      <c r="AA30" s="1244"/>
      <c r="AB30" s="1244"/>
      <c r="AC30" s="1244"/>
      <c r="AD30" s="1244"/>
      <c r="AE30" s="1244"/>
      <c r="AF30" s="1244"/>
      <c r="AG30" s="1244"/>
      <c r="AH30" s="1244"/>
      <c r="AI30" s="1244"/>
      <c r="AJ30" s="1244"/>
      <c r="AK30" s="1244"/>
      <c r="AL30" s="1244"/>
      <c r="AM30" s="183"/>
      <c r="AN30" s="189"/>
    </row>
    <row r="31" spans="1:40" x14ac:dyDescent="0.2">
      <c r="A31" s="107">
        <f t="shared" si="1"/>
        <v>28</v>
      </c>
      <c r="B31" s="167"/>
      <c r="C31" s="317"/>
      <c r="D31" s="1244"/>
      <c r="E31" s="1244"/>
      <c r="F31" s="1244"/>
      <c r="G31" s="1244"/>
      <c r="H31" s="1244"/>
      <c r="I31" s="1244"/>
      <c r="J31" s="1244"/>
      <c r="K31" s="1244"/>
      <c r="L31" s="1244"/>
      <c r="M31" s="1244"/>
      <c r="N31" s="1244"/>
      <c r="O31" s="1244"/>
      <c r="P31" s="1244"/>
      <c r="Q31" s="1244"/>
      <c r="R31" s="1244"/>
      <c r="S31" s="1244"/>
      <c r="T31" s="1244"/>
      <c r="U31" s="1244"/>
      <c r="V31" s="1244"/>
      <c r="W31" s="1244"/>
      <c r="X31" s="1244"/>
      <c r="Y31" s="1244"/>
      <c r="Z31" s="1244"/>
      <c r="AA31" s="1244"/>
      <c r="AB31" s="1244"/>
      <c r="AC31" s="1244"/>
      <c r="AD31" s="1244"/>
      <c r="AE31" s="1244"/>
      <c r="AF31" s="1244"/>
      <c r="AG31" s="1244"/>
      <c r="AH31" s="1244"/>
      <c r="AI31" s="1244"/>
      <c r="AJ31" s="1244"/>
      <c r="AK31" s="1244"/>
      <c r="AL31" s="1244"/>
      <c r="AM31" s="183"/>
      <c r="AN31" s="189"/>
    </row>
    <row r="32" spans="1:40" x14ac:dyDescent="0.2">
      <c r="A32" s="107">
        <f t="shared" si="1"/>
        <v>29</v>
      </c>
      <c r="B32" s="168"/>
      <c r="C32" s="317"/>
      <c r="D32" s="1244"/>
      <c r="E32" s="1244"/>
      <c r="F32" s="1244"/>
      <c r="G32" s="1244"/>
      <c r="H32" s="1244"/>
      <c r="I32" s="1244"/>
      <c r="J32" s="1244"/>
      <c r="K32" s="1244"/>
      <c r="L32" s="1244"/>
      <c r="M32" s="1244"/>
      <c r="N32" s="1244"/>
      <c r="O32" s="1244"/>
      <c r="P32" s="1244"/>
      <c r="Q32" s="1244"/>
      <c r="R32" s="1244"/>
      <c r="S32" s="1244"/>
      <c r="T32" s="1244"/>
      <c r="U32" s="1244"/>
      <c r="V32" s="1244"/>
      <c r="W32" s="1244"/>
      <c r="X32" s="1244"/>
      <c r="Y32" s="1244"/>
      <c r="Z32" s="1244"/>
      <c r="AA32" s="1244"/>
      <c r="AB32" s="1244"/>
      <c r="AC32" s="1244"/>
      <c r="AD32" s="1244"/>
      <c r="AE32" s="1244"/>
      <c r="AF32" s="1244"/>
      <c r="AG32" s="1244"/>
      <c r="AH32" s="1244"/>
      <c r="AI32" s="1244"/>
      <c r="AJ32" s="1244"/>
      <c r="AK32" s="1244"/>
      <c r="AL32" s="1244"/>
      <c r="AM32" s="183"/>
      <c r="AN32" s="208"/>
    </row>
    <row r="33" spans="1:40" x14ac:dyDescent="0.2">
      <c r="A33" s="107" t="s">
        <v>199</v>
      </c>
      <c r="B33" s="167"/>
      <c r="C33" s="321"/>
      <c r="D33" s="1244"/>
      <c r="E33" s="1244"/>
      <c r="F33" s="1244"/>
      <c r="G33" s="1244"/>
      <c r="H33" s="1244"/>
      <c r="I33" s="1244"/>
      <c r="J33" s="1244"/>
      <c r="K33" s="1244"/>
      <c r="L33" s="1244"/>
      <c r="M33" s="1244"/>
      <c r="N33" s="1244"/>
      <c r="O33" s="1244"/>
      <c r="P33" s="1244"/>
      <c r="Q33" s="1244"/>
      <c r="R33" s="1244"/>
      <c r="S33" s="1244"/>
      <c r="T33" s="1244"/>
      <c r="U33" s="1244"/>
      <c r="V33" s="1244"/>
      <c r="W33" s="1244"/>
      <c r="X33" s="1244"/>
      <c r="Y33" s="1244"/>
      <c r="Z33" s="1244"/>
      <c r="AA33" s="1244"/>
      <c r="AB33" s="1244"/>
      <c r="AC33" s="1244"/>
      <c r="AD33" s="1244"/>
      <c r="AE33" s="1244"/>
      <c r="AF33" s="1244"/>
      <c r="AG33" s="1244"/>
      <c r="AH33" s="1244"/>
      <c r="AI33" s="1244"/>
      <c r="AJ33" s="1244"/>
      <c r="AK33" s="1244"/>
      <c r="AL33" s="1244"/>
      <c r="AM33" s="290"/>
      <c r="AN33" s="189"/>
    </row>
    <row r="34" spans="1:40" x14ac:dyDescent="0.2">
      <c r="A34" s="107">
        <f t="shared" ref="A34:A61" si="2">A33+1</f>
        <v>31</v>
      </c>
      <c r="B34" s="167"/>
      <c r="C34" s="322"/>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1244"/>
      <c r="AK34" s="1244"/>
      <c r="AL34" s="1244"/>
      <c r="AM34" s="183"/>
      <c r="AN34" s="189"/>
    </row>
    <row r="35" spans="1:40" x14ac:dyDescent="0.2">
      <c r="A35" s="107">
        <f t="shared" si="2"/>
        <v>32</v>
      </c>
      <c r="B35" s="167"/>
      <c r="C35" s="323"/>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1244"/>
      <c r="AK35" s="1244"/>
      <c r="AL35" s="1244"/>
      <c r="AM35" s="183"/>
      <c r="AN35" s="189"/>
    </row>
    <row r="36" spans="1:40" x14ac:dyDescent="0.2">
      <c r="A36" s="107">
        <f t="shared" si="2"/>
        <v>33</v>
      </c>
      <c r="B36" s="167"/>
      <c r="C36" s="32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1244"/>
      <c r="AK36" s="1244"/>
      <c r="AL36" s="1244"/>
      <c r="AM36" s="183"/>
      <c r="AN36" s="189"/>
    </row>
    <row r="37" spans="1:40" x14ac:dyDescent="0.2">
      <c r="A37" s="107">
        <f t="shared" si="2"/>
        <v>34</v>
      </c>
      <c r="B37" s="167"/>
      <c r="C37" s="32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1244"/>
      <c r="AK37" s="1244"/>
      <c r="AL37" s="1244"/>
      <c r="AM37" s="183"/>
      <c r="AN37" s="189"/>
    </row>
    <row r="38" spans="1:40" x14ac:dyDescent="0.2">
      <c r="A38" s="107">
        <f t="shared" si="2"/>
        <v>35</v>
      </c>
      <c r="B38" s="167"/>
      <c r="C38" s="323"/>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1244"/>
      <c r="AK38" s="1244"/>
      <c r="AL38" s="1244"/>
      <c r="AM38" s="183"/>
      <c r="AN38" s="189"/>
    </row>
    <row r="39" spans="1:40" x14ac:dyDescent="0.2">
      <c r="A39" s="107">
        <f t="shared" si="2"/>
        <v>36</v>
      </c>
      <c r="B39" s="167"/>
      <c r="C39" s="325"/>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1244"/>
      <c r="AK39" s="1244"/>
      <c r="AL39" s="1244"/>
      <c r="AM39" s="183"/>
      <c r="AN39" s="189"/>
    </row>
    <row r="40" spans="1:40" x14ac:dyDescent="0.2">
      <c r="A40" s="107">
        <f t="shared" si="2"/>
        <v>37</v>
      </c>
      <c r="B40" s="167"/>
      <c r="C40" s="323"/>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1244"/>
      <c r="AK40" s="1244"/>
      <c r="AL40" s="1244"/>
      <c r="AM40" s="183"/>
      <c r="AN40" s="189"/>
    </row>
    <row r="41" spans="1:40" x14ac:dyDescent="0.2">
      <c r="A41" s="107">
        <f t="shared" si="2"/>
        <v>38</v>
      </c>
      <c r="B41" s="167"/>
      <c r="C41" s="326"/>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1244"/>
      <c r="AK41" s="1244"/>
      <c r="AL41" s="1244"/>
      <c r="AM41" s="183"/>
      <c r="AN41" s="189"/>
    </row>
    <row r="42" spans="1:40" x14ac:dyDescent="0.2">
      <c r="A42" s="107">
        <f t="shared" si="2"/>
        <v>39</v>
      </c>
      <c r="B42" s="167"/>
      <c r="C42" s="323"/>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1244"/>
      <c r="AK42" s="1244"/>
      <c r="AL42" s="1244"/>
      <c r="AM42" s="183"/>
      <c r="AN42" s="189"/>
    </row>
    <row r="43" spans="1:40" x14ac:dyDescent="0.2">
      <c r="A43" s="107">
        <f t="shared" si="2"/>
        <v>40</v>
      </c>
      <c r="B43" s="167"/>
      <c r="C43" s="32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1244"/>
      <c r="AK43" s="1244"/>
      <c r="AL43" s="1244"/>
      <c r="AM43" s="183"/>
      <c r="AN43" s="189"/>
    </row>
    <row r="44" spans="1:40" x14ac:dyDescent="0.2">
      <c r="A44" s="107">
        <f t="shared" si="2"/>
        <v>41</v>
      </c>
      <c r="B44" s="167"/>
      <c r="C44" s="325"/>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1244"/>
      <c r="AK44" s="1244"/>
      <c r="AL44" s="1244"/>
      <c r="AM44" s="327"/>
      <c r="AN44" s="189"/>
    </row>
    <row r="45" spans="1:40" x14ac:dyDescent="0.2">
      <c r="A45" s="107">
        <f t="shared" si="2"/>
        <v>42</v>
      </c>
      <c r="B45" s="167"/>
      <c r="C45" s="323"/>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1244"/>
      <c r="AK45" s="1244"/>
      <c r="AL45" s="1244"/>
      <c r="AM45" s="183"/>
      <c r="AN45" s="189"/>
    </row>
    <row r="46" spans="1:40" x14ac:dyDescent="0.2">
      <c r="A46" s="107">
        <f t="shared" si="2"/>
        <v>43</v>
      </c>
      <c r="B46" s="167"/>
      <c r="C46" s="325"/>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1244"/>
      <c r="AK46" s="1244"/>
      <c r="AL46" s="1244"/>
      <c r="AM46" s="183"/>
      <c r="AN46" s="189"/>
    </row>
    <row r="47" spans="1:40" x14ac:dyDescent="0.2">
      <c r="A47" s="107">
        <f t="shared" si="2"/>
        <v>44</v>
      </c>
      <c r="B47" s="167"/>
      <c r="C47" s="326"/>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1244"/>
      <c r="AK47" s="1244"/>
      <c r="AL47" s="1244"/>
      <c r="AM47" s="183"/>
      <c r="AN47" s="189"/>
    </row>
    <row r="48" spans="1:40" x14ac:dyDescent="0.2">
      <c r="A48" s="107">
        <f t="shared" si="2"/>
        <v>45</v>
      </c>
      <c r="B48" s="167"/>
      <c r="C48" s="328"/>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1244"/>
      <c r="AK48" s="1244"/>
      <c r="AL48" s="1244"/>
      <c r="AM48" s="183"/>
      <c r="AN48" s="189"/>
    </row>
    <row r="49" spans="1:40" x14ac:dyDescent="0.2">
      <c r="A49" s="107">
        <f t="shared" si="2"/>
        <v>46</v>
      </c>
      <c r="B49" s="167"/>
      <c r="C49" s="323"/>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1244"/>
      <c r="AK49" s="1244"/>
      <c r="AL49" s="1244"/>
      <c r="AM49" s="183"/>
      <c r="AN49" s="189"/>
    </row>
    <row r="50" spans="1:40" x14ac:dyDescent="0.2">
      <c r="A50" s="107">
        <f t="shared" si="2"/>
        <v>47</v>
      </c>
      <c r="B50" s="167"/>
      <c r="C50" s="329"/>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1244"/>
      <c r="AK50" s="1244"/>
      <c r="AL50" s="1244"/>
      <c r="AM50" s="183"/>
      <c r="AN50" s="189"/>
    </row>
    <row r="51" spans="1:40" x14ac:dyDescent="0.2">
      <c r="A51" s="107">
        <f t="shared" si="2"/>
        <v>48</v>
      </c>
      <c r="B51" s="167"/>
      <c r="C51" s="329"/>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1244"/>
      <c r="AK51" s="1244"/>
      <c r="AL51" s="1244"/>
      <c r="AM51" s="183"/>
      <c r="AN51" s="189"/>
    </row>
    <row r="52" spans="1:40" x14ac:dyDescent="0.2">
      <c r="A52" s="107">
        <f t="shared" si="2"/>
        <v>49</v>
      </c>
      <c r="B52" s="167"/>
      <c r="C52" s="330"/>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1244"/>
      <c r="AK52" s="1244"/>
      <c r="AL52" s="1244"/>
      <c r="AM52" s="183"/>
      <c r="AN52" s="189"/>
    </row>
    <row r="53" spans="1:40" x14ac:dyDescent="0.2">
      <c r="A53" s="107">
        <f t="shared" si="2"/>
        <v>50</v>
      </c>
      <c r="B53" s="167"/>
      <c r="C53" s="320"/>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1244"/>
      <c r="AK53" s="1244"/>
      <c r="AL53" s="1244"/>
      <c r="AM53" s="183"/>
      <c r="AN53" s="189"/>
    </row>
    <row r="54" spans="1:40" x14ac:dyDescent="0.2">
      <c r="A54" s="107">
        <f t="shared" si="2"/>
        <v>51</v>
      </c>
      <c r="B54" s="167"/>
      <c r="C54" s="320"/>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1244"/>
      <c r="AK54" s="1244"/>
      <c r="AL54" s="1244"/>
      <c r="AM54" s="183"/>
      <c r="AN54" s="189"/>
    </row>
    <row r="55" spans="1:40" x14ac:dyDescent="0.2">
      <c r="A55" s="107">
        <f t="shared" si="2"/>
        <v>52</v>
      </c>
      <c r="B55" s="167"/>
      <c r="C55" s="320"/>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1244"/>
      <c r="AK55" s="1244"/>
      <c r="AL55" s="1244"/>
      <c r="AM55" s="183"/>
      <c r="AN55" s="189"/>
    </row>
    <row r="56" spans="1:40" x14ac:dyDescent="0.2">
      <c r="A56" s="107">
        <f t="shared" si="2"/>
        <v>53</v>
      </c>
      <c r="B56" s="167"/>
      <c r="C56" s="320"/>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1244"/>
      <c r="AK56" s="1244"/>
      <c r="AL56" s="1244"/>
      <c r="AM56" s="183"/>
      <c r="AN56" s="189"/>
    </row>
    <row r="57" spans="1:40" x14ac:dyDescent="0.2">
      <c r="A57" s="107">
        <f t="shared" si="2"/>
        <v>54</v>
      </c>
      <c r="B57" s="167"/>
      <c r="C57" s="320"/>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1244"/>
      <c r="AK57" s="1244"/>
      <c r="AL57" s="1244"/>
      <c r="AM57" s="183"/>
      <c r="AN57" s="189"/>
    </row>
    <row r="58" spans="1:40" x14ac:dyDescent="0.2">
      <c r="A58" s="107">
        <f t="shared" si="2"/>
        <v>55</v>
      </c>
      <c r="B58" s="167"/>
      <c r="C58" s="320"/>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1244"/>
      <c r="AK58" s="1244"/>
      <c r="AL58" s="1244"/>
      <c r="AM58" s="183"/>
      <c r="AN58" s="189"/>
    </row>
    <row r="59" spans="1:40" x14ac:dyDescent="0.2">
      <c r="A59" s="107">
        <f t="shared" si="2"/>
        <v>56</v>
      </c>
      <c r="B59" s="167"/>
      <c r="C59" s="320"/>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1244"/>
      <c r="AK59" s="1244"/>
      <c r="AL59" s="1244"/>
      <c r="AM59" s="183"/>
      <c r="AN59" s="189"/>
    </row>
    <row r="60" spans="1:40" x14ac:dyDescent="0.2">
      <c r="A60" s="107">
        <f t="shared" si="2"/>
        <v>57</v>
      </c>
      <c r="B60" s="167"/>
      <c r="C60" s="320"/>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1244"/>
      <c r="AK60" s="1244"/>
      <c r="AL60" s="1244"/>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50"/>
      <c r="J63" s="1150"/>
      <c r="K63" s="1150"/>
      <c r="L63" s="1150"/>
      <c r="M63" s="1150"/>
      <c r="N63" s="1150"/>
      <c r="O63" s="1150"/>
      <c r="P63" s="1150"/>
      <c r="Q63" s="1150"/>
      <c r="R63" s="1150"/>
      <c r="S63" s="1150"/>
      <c r="T63" s="1150"/>
      <c r="U63" s="112"/>
      <c r="V63" s="112"/>
      <c r="W63" s="111" t="s">
        <v>48</v>
      </c>
      <c r="X63" s="111"/>
      <c r="Y63" s="1114"/>
      <c r="Z63" s="1114"/>
      <c r="AA63" s="112"/>
      <c r="AB63" s="112"/>
      <c r="AC63" s="112"/>
      <c r="AD63" s="112"/>
      <c r="AE63" s="111" t="s">
        <v>271</v>
      </c>
      <c r="AF63" s="111"/>
      <c r="AG63" s="291"/>
      <c r="AH63" s="1113"/>
      <c r="AI63" s="1113"/>
      <c r="AJ63" s="294" t="s">
        <v>269</v>
      </c>
      <c r="AK63" s="1101" t="str">
        <f>IF(C_PageNo_Total=0,"",C_PageNo_Total)</f>
        <v/>
      </c>
      <c r="AL63" s="1101"/>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6" activePane="bottomRight" state="frozen"/>
      <selection activeCell="AK43" sqref="AK43"/>
      <selection pane="topRight" activeCell="AK43" sqref="AK43"/>
      <selection pane="bottomLeft" activeCell="AK43" sqref="AK43"/>
      <selection pane="bottomRight" activeCell="B69" sqref="B69"/>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7" t="s">
        <v>493</v>
      </c>
    </row>
    <row r="2" spans="1:29" ht="38.25" x14ac:dyDescent="0.2">
      <c r="A2" s="344" t="s">
        <v>307</v>
      </c>
      <c r="B2" s="345" t="str">
        <f t="shared" ref="B2:B33" ca="1" si="0">INDIRECT(ADDRESS(0,$B$1,4,0),0)</f>
        <v>psia</v>
      </c>
      <c r="C2" s="346" t="s">
        <v>136</v>
      </c>
      <c r="D2" s="346" t="s">
        <v>189</v>
      </c>
      <c r="E2" s="346" t="s">
        <v>308</v>
      </c>
      <c r="F2" s="554" t="s">
        <v>312</v>
      </c>
      <c r="G2" s="347"/>
      <c r="H2" s="347"/>
      <c r="I2" s="347"/>
      <c r="J2" s="347"/>
      <c r="K2" s="347"/>
      <c r="L2" s="348"/>
      <c r="U2" s="408" t="s">
        <v>494</v>
      </c>
      <c r="V2" s="409"/>
      <c r="W2" s="408" t="s">
        <v>514</v>
      </c>
      <c r="X2" s="410" t="s">
        <v>515</v>
      </c>
      <c r="Y2" s="411"/>
      <c r="Z2" s="410" t="s">
        <v>495</v>
      </c>
      <c r="AA2" s="411" t="s">
        <v>496</v>
      </c>
      <c r="AB2" s="411" t="s">
        <v>497</v>
      </c>
      <c r="AC2" s="411" t="s">
        <v>498</v>
      </c>
    </row>
    <row r="3" spans="1:29" x14ac:dyDescent="0.2">
      <c r="A3" s="344" t="s">
        <v>309</v>
      </c>
      <c r="B3" s="345" t="str">
        <f t="shared" ca="1" si="0"/>
        <v>psig</v>
      </c>
      <c r="C3" s="346" t="s">
        <v>128</v>
      </c>
      <c r="D3" s="346" t="s">
        <v>192</v>
      </c>
      <c r="E3" s="346" t="s">
        <v>310</v>
      </c>
      <c r="F3" s="554" t="s">
        <v>578</v>
      </c>
      <c r="G3" s="347"/>
      <c r="H3" s="347"/>
      <c r="I3" s="398" t="s">
        <v>203</v>
      </c>
      <c r="J3" s="399"/>
      <c r="K3" s="399"/>
      <c r="L3" s="348"/>
      <c r="O3" s="401" t="s">
        <v>280</v>
      </c>
      <c r="P3" s="400"/>
      <c r="Q3" s="400"/>
      <c r="R3" s="400"/>
      <c r="U3" s="412" t="str">
        <f>IF(Page1!B68="","",Page1!B68)</f>
        <v/>
      </c>
      <c r="V3" s="412"/>
      <c r="W3" s="156" t="s">
        <v>499</v>
      </c>
      <c r="X3" s="413">
        <v>6</v>
      </c>
      <c r="Y3" s="414"/>
      <c r="Z3" s="413">
        <f>IF(U3="",0,LOOKUP(U3,W$3:W$17,X$3:X$17))</f>
        <v>0</v>
      </c>
      <c r="AA3" s="413">
        <f>MAX(Z3:Z7)</f>
        <v>5</v>
      </c>
      <c r="AB3" s="414">
        <f>MATCH(AA3,Z3:Z7,0)</f>
        <v>5</v>
      </c>
      <c r="AC3" s="414"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2" t="str">
        <f>IF(Page1!B67="","",Page1!B67)</f>
        <v/>
      </c>
      <c r="V4" s="412"/>
      <c r="W4" s="156" t="s">
        <v>500</v>
      </c>
      <c r="X4" s="413">
        <v>7</v>
      </c>
      <c r="Y4" s="414"/>
      <c r="Z4" s="413">
        <f>IF(U4="",0,LOOKUP(U4,W$3:W$17,X$3:X$17))</f>
        <v>0</v>
      </c>
      <c r="AA4" s="414"/>
      <c r="AB4" s="414"/>
      <c r="AC4" s="414"/>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2" t="str">
        <f>IF(Page1!B66="","",Page1!B66)</f>
        <v/>
      </c>
      <c r="V5" s="412"/>
      <c r="W5" s="156" t="s">
        <v>501</v>
      </c>
      <c r="X5" s="413">
        <v>8</v>
      </c>
      <c r="Y5" s="414"/>
      <c r="Z5" s="413">
        <f>IF(U5="",0,LOOKUP(U5,W$3:W$17,X$3:X$17))</f>
        <v>0</v>
      </c>
      <c r="AA5" s="414"/>
      <c r="AB5" s="414"/>
      <c r="AC5" s="414"/>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2" t="str">
        <f>IF(Page1!B65="","",Page1!B65)</f>
        <v/>
      </c>
      <c r="V6" s="412"/>
      <c r="W6" s="156" t="s">
        <v>502</v>
      </c>
      <c r="X6" s="413">
        <v>9</v>
      </c>
      <c r="Y6" s="414"/>
      <c r="Z6" s="413">
        <f>IF(U6="",0,LOOKUP(U6,W$3:W$17,X$3:X$17))</f>
        <v>0</v>
      </c>
      <c r="AA6" s="414"/>
      <c r="AB6" s="414"/>
      <c r="AC6" s="414"/>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2" t="str">
        <f>IF(Page1!B64="","",Page1!B64)</f>
        <v>1</v>
      </c>
      <c r="V7" s="412"/>
      <c r="W7" s="156" t="s">
        <v>503</v>
      </c>
      <c r="X7" s="413">
        <v>10</v>
      </c>
      <c r="Y7" s="414"/>
      <c r="Z7" s="413">
        <f>IF(U7="",0,LOOKUP(U7,W$3:W$17,X$3:X$17))</f>
        <v>5</v>
      </c>
      <c r="AA7" s="414"/>
      <c r="AB7" s="414"/>
      <c r="AC7" s="414"/>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2"/>
      <c r="W8" s="156" t="s">
        <v>504</v>
      </c>
      <c r="X8" s="413">
        <v>11</v>
      </c>
      <c r="Y8" s="414"/>
      <c r="Z8" s="414"/>
      <c r="AA8" s="414"/>
      <c r="AB8" s="414"/>
      <c r="AC8" s="414"/>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2"/>
      <c r="W9" s="156" t="s">
        <v>505</v>
      </c>
      <c r="X9" s="413">
        <v>12</v>
      </c>
      <c r="Y9" s="414"/>
      <c r="Z9" s="414"/>
      <c r="AA9" s="414"/>
      <c r="AB9" s="414"/>
      <c r="AC9" s="414"/>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2"/>
      <c r="W10" s="156" t="s">
        <v>506</v>
      </c>
      <c r="X10" s="413">
        <v>13</v>
      </c>
      <c r="Y10" s="414"/>
      <c r="Z10" s="414"/>
      <c r="AA10" s="414"/>
      <c r="AB10" s="414"/>
      <c r="AC10" s="414"/>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2"/>
      <c r="W11" s="156" t="s">
        <v>507</v>
      </c>
      <c r="X11" s="413">
        <v>14</v>
      </c>
      <c r="Y11" s="414"/>
      <c r="Z11" s="414"/>
      <c r="AA11" s="414"/>
      <c r="AB11" s="414"/>
      <c r="AC11" s="414"/>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2"/>
      <c r="W12" s="156" t="s">
        <v>508</v>
      </c>
      <c r="X12" s="413">
        <v>15</v>
      </c>
      <c r="Y12" s="414"/>
      <c r="Z12" s="414"/>
      <c r="AA12" s="414"/>
      <c r="AB12" s="414"/>
      <c r="AC12" s="414"/>
    </row>
    <row r="13" spans="1:29" x14ac:dyDescent="0.2">
      <c r="A13" s="344" t="s">
        <v>330</v>
      </c>
      <c r="B13" s="345" t="str">
        <f t="shared" ca="1" si="0"/>
        <v>in.</v>
      </c>
      <c r="C13" s="865"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2"/>
      <c r="W13" s="156" t="s">
        <v>509</v>
      </c>
      <c r="X13" s="413">
        <v>1</v>
      </c>
      <c r="Y13" s="414"/>
      <c r="Z13" s="414"/>
      <c r="AA13" s="413"/>
      <c r="AB13" s="414"/>
      <c r="AC13" s="414"/>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7">
        <v>52</v>
      </c>
      <c r="R14" s="368" t="s">
        <v>294</v>
      </c>
      <c r="U14" s="156"/>
      <c r="V14" s="412"/>
      <c r="W14" s="156" t="s">
        <v>510</v>
      </c>
      <c r="X14" s="413">
        <v>2</v>
      </c>
      <c r="Y14" s="414"/>
      <c r="Z14" s="414"/>
      <c r="AA14" s="414"/>
      <c r="AB14" s="414"/>
      <c r="AC14" s="414"/>
    </row>
    <row r="15" spans="1:29" ht="14.25" x14ac:dyDescent="0.2">
      <c r="A15" s="344" t="s">
        <v>333</v>
      </c>
      <c r="B15" s="345" t="str">
        <f t="shared" ca="1" si="0"/>
        <v>in.²</v>
      </c>
      <c r="C15" s="865"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2"/>
      <c r="W15" s="156" t="s">
        <v>511</v>
      </c>
      <c r="X15" s="413">
        <v>3</v>
      </c>
      <c r="Y15" s="414"/>
      <c r="Z15" s="414"/>
      <c r="AA15" s="414"/>
      <c r="AB15" s="414"/>
      <c r="AC15" s="414"/>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2"/>
      <c r="W16" s="156" t="s">
        <v>512</v>
      </c>
      <c r="X16" s="413">
        <v>4</v>
      </c>
      <c r="Y16" s="414"/>
      <c r="Z16" s="414"/>
      <c r="AA16" s="414"/>
      <c r="AB16" s="414"/>
      <c r="AC16" s="414"/>
    </row>
    <row r="17" spans="1:29" ht="14.25" x14ac:dyDescent="0.2">
      <c r="A17" s="344" t="s">
        <v>337</v>
      </c>
      <c r="B17" s="345" t="str">
        <f t="shared" ca="1" si="0"/>
        <v>in.³</v>
      </c>
      <c r="C17" s="865"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2"/>
      <c r="W17" s="156" t="s">
        <v>513</v>
      </c>
      <c r="X17" s="413">
        <v>5</v>
      </c>
      <c r="Y17" s="414"/>
      <c r="Z17" s="414"/>
      <c r="AA17" s="414"/>
      <c r="AB17" s="414"/>
      <c r="AC17" s="414"/>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7" t="s">
        <v>874</v>
      </c>
      <c r="E32" s="867" t="s">
        <v>874</v>
      </c>
      <c r="F32" s="867"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5"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5" t="s">
        <v>869</v>
      </c>
      <c r="D34" s="346" t="s">
        <v>377</v>
      </c>
      <c r="E34" s="346" t="s">
        <v>378</v>
      </c>
      <c r="F34" s="346" t="s">
        <v>378</v>
      </c>
      <c r="G34" s="351"/>
      <c r="H34" s="351"/>
      <c r="I34" s="351"/>
      <c r="J34" s="351"/>
      <c r="K34" s="351"/>
      <c r="L34" s="348"/>
      <c r="O34" s="260" t="e">
        <f t="shared" ref="O34:O40" ca="1" si="6">INDIRECT(ADDRESS(0,$O$33,4,0),0)</f>
        <v>#REF!</v>
      </c>
      <c r="P34" s="368" t="s">
        <v>291</v>
      </c>
      <c r="Q34" s="437">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5" t="s">
        <v>870</v>
      </c>
      <c r="D48" s="865"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4" t="s">
        <v>424</v>
      </c>
      <c r="D50" s="554" t="s">
        <v>425</v>
      </c>
      <c r="E50" s="554" t="s">
        <v>426</v>
      </c>
      <c r="F50" s="554"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5" t="s">
        <v>428</v>
      </c>
      <c r="D51" s="865" t="s">
        <v>429</v>
      </c>
      <c r="E51" s="865" t="s">
        <v>429</v>
      </c>
      <c r="F51" s="865"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7">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6"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764</v>
      </c>
      <c r="C69" s="343">
        <f>Page2!$Q23-Page2!$Q24</f>
        <v>764</v>
      </c>
      <c r="D69" s="343">
        <f>Page2!$Q23-Page2!$Q24</f>
        <v>764</v>
      </c>
      <c r="E69" s="343">
        <f>Page2!$Q23-Page2!$Q24</f>
        <v>764</v>
      </c>
      <c r="F69" s="343">
        <f>Page2!$Q23-Page2!$Q24</f>
        <v>764</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249.74121492781259</v>
      </c>
      <c r="E72" s="343">
        <f>Page2!Q22*E69/36</f>
        <v>254.66666666666666</v>
      </c>
      <c r="F72" s="343">
        <f>Page2!Q22*F69/36</f>
        <v>254.66666666666666</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2014-08-21T18:45:49Z</dcterms:modified>
</cp:coreProperties>
</file>